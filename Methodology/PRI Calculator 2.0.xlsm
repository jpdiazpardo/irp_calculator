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jnj-my.sharepoint.com/personal/jdiazpar_its_jnj_com/Documents/Documents/PRI Calculator 2.0/"/>
    </mc:Choice>
  </mc:AlternateContent>
  <xr:revisionPtr revIDLastSave="25134" documentId="11_9E2F3292C01C705570747F327FEF5ACEAEA63C3D" xr6:coauthVersionLast="45" xr6:coauthVersionMax="45" xr10:uidLastSave="{D1A82F13-3485-48FD-8E13-975B166B5B2D}"/>
  <bookViews>
    <workbookView xWindow="-108" yWindow="-108" windowWidth="23256" windowHeight="12576" xr2:uid="{00000000-000D-0000-FFFF-FFFF00000000}"/>
  </bookViews>
  <sheets>
    <sheet name="PRI Calculator 2.0" sheetId="1" r:id="rId1"/>
    <sheet name="Resultados" sheetId="7" r:id="rId2"/>
    <sheet name="TRM" sheetId="4" r:id="rId3"/>
    <sheet name="FX" sheetId="5" r:id="rId4"/>
    <sheet name="Concentraciones" sheetId="8" r:id="rId5"/>
  </sheets>
  <functionGroups builtInGroupCount="19"/>
  <definedNames>
    <definedName name="_xlnm._FilterDatabase" localSheetId="4" hidden="1">Concentraciones!$A$1:$B$96</definedName>
    <definedName name="_xlnm._FilterDatabase" localSheetId="0" hidden="1">'PRI Calculator 2.0'!$B$10:$G$27</definedName>
    <definedName name="Anexos" localSheetId="3" hidden="1">FX!$A$1:$L$369</definedName>
    <definedName name="Anexos" localSheetId="2" hidden="1">TRM!$A$1:$B$369</definedName>
    <definedName name="ExternalData_1" localSheetId="1" hidden="1">Resultados!$A$1:$U$3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3" i="1" l="1"/>
  <c r="F30" i="1"/>
  <c r="B9" i="8" l="1"/>
  <c r="B60" i="8" l="1"/>
  <c r="B88" i="8"/>
  <c r="B87" i="8"/>
  <c r="B86" i="8"/>
  <c r="B85" i="8"/>
  <c r="B84" i="8"/>
  <c r="B83" i="8"/>
  <c r="B82" i="8"/>
  <c r="B81" i="8"/>
  <c r="B75" i="8"/>
  <c r="B72" i="8"/>
  <c r="B71" i="8"/>
  <c r="B70" i="8"/>
  <c r="B8" i="8" l="1"/>
  <c r="B27" i="8" l="1"/>
  <c r="B18" i="8"/>
  <c r="B48" i="8" l="1"/>
  <c r="B47" i="8"/>
  <c r="B56" i="8"/>
  <c r="B22" i="8"/>
  <c r="O12" i="1"/>
  <c r="O18" i="1"/>
  <c r="B80" i="8"/>
  <c r="B21" i="8"/>
  <c r="B15" i="8"/>
  <c r="B12" i="8"/>
  <c r="B11" i="8"/>
  <c r="B10" i="8"/>
  <c r="B7" i="8"/>
  <c r="B4" i="8"/>
  <c r="B3" i="8"/>
  <c r="B2" i="8"/>
  <c r="F12" i="1" l="1"/>
  <c r="F23" i="1"/>
  <c r="F24" i="1"/>
  <c r="F27" i="1"/>
  <c r="G23" i="1" l="1"/>
  <c r="G24" i="1"/>
  <c r="G12" i="1"/>
  <c r="G27" i="1"/>
  <c r="E14" i="1" l="1" a="1"/>
  <c r="E14" i="1" s="1"/>
  <c r="F14" i="1" s="1"/>
  <c r="G14" i="1" s="1"/>
  <c r="E13" i="1" a="1"/>
  <c r="E13" i="1" s="1"/>
  <c r="F13" i="1" s="1"/>
  <c r="G13" i="1" s="1"/>
  <c r="E22" i="1" a="1"/>
  <c r="E22" i="1" s="1"/>
  <c r="E19" i="1" a="1"/>
  <c r="E19" i="1" s="1"/>
  <c r="F19" i="1" s="1"/>
  <c r="E17" i="1" a="1"/>
  <c r="E17" i="1" s="1"/>
  <c r="E15" i="1" a="1"/>
  <c r="E15" i="1" s="1"/>
  <c r="E18" i="1" a="1"/>
  <c r="E18" i="1" s="1"/>
  <c r="E21" i="1" a="1"/>
  <c r="E21" i="1" s="1"/>
  <c r="F21" i="1" s="1"/>
  <c r="E16" i="1" a="1"/>
  <c r="E16" i="1" s="1"/>
  <c r="E26" i="1" a="1"/>
  <c r="E26" i="1" s="1"/>
  <c r="E20" i="1" a="1"/>
  <c r="E20" i="1" s="1"/>
  <c r="F20" i="1" s="1"/>
  <c r="G20" i="1" s="1"/>
  <c r="E25" i="1" a="1"/>
  <c r="E25" i="1" s="1"/>
  <c r="E27" i="1" a="1"/>
  <c r="E27" i="1" s="1"/>
  <c r="E11" i="1" a="1"/>
  <c r="E11" i="1" s="1"/>
  <c r="C30" i="1" a="1"/>
  <c r="C30" i="1" s="1"/>
  <c r="F25" i="1" l="1"/>
  <c r="G25" i="1" s="1"/>
  <c r="F22" i="1"/>
  <c r="G22" i="1" s="1"/>
  <c r="F11" i="1"/>
  <c r="G11" i="1" s="1"/>
  <c r="F15" i="1"/>
  <c r="G15" i="1" s="1"/>
  <c r="F17" i="1"/>
  <c r="G17" i="1" s="1"/>
  <c r="F16" i="1"/>
  <c r="G16" i="1" s="1"/>
  <c r="F18" i="1"/>
  <c r="G18" i="1" s="1"/>
  <c r="G19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F26" i="1" l="1"/>
  <c r="G26" i="1" s="1"/>
  <c r="G7" i="1" s="1"/>
  <c r="F6" i="1" l="1"/>
  <c r="F7" i="1"/>
  <c r="G6" i="1"/>
  <c r="G30" i="1"/>
  <c r="I20" i="1" l="1"/>
  <c r="I14" i="1"/>
  <c r="I12" i="1"/>
  <c r="I26" i="1"/>
  <c r="I21" i="1"/>
  <c r="I22" i="1"/>
  <c r="I15" i="1"/>
  <c r="I13" i="1"/>
  <c r="I16" i="1"/>
  <c r="I24" i="1"/>
  <c r="I23" i="1"/>
  <c r="I11" i="1"/>
  <c r="I27" i="1"/>
  <c r="I18" i="1"/>
  <c r="I17" i="1"/>
  <c r="F31" i="1"/>
  <c r="I19" i="1"/>
  <c r="I25" i="1"/>
  <c r="H31" i="1"/>
  <c r="G31" i="1"/>
  <c r="G3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F9D53A-2E7D-44C3-99B8-BABF58BCA3E4}" sourceFile="C:\Users\jdiazpar\OneDrive - JNJ\Documents\PRI Calculator 2.0\Anexos.xlsx" keepAlive="1" name="Anexos1" type="5" refreshedVersion="6" background="1" refreshOnLoad="1" saveData="1">
    <dbPr connection="Provider=Microsoft.ACE.OLEDB.12.0;User ID=Admin;Data Source=C:\Users\jdiazpar\OneDrive - JNJ\Documents\PRI Calculator 2.0\Anexos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RM$" commandType="3"/>
  </connection>
  <connection id="2" xr16:uid="{276DD7E0-3F0C-4C67-BF26-0ED86B672F80}" sourceFile="C:\Users\jdiazpar\OneDrive - JNJ\Documents\PRI Calculator 2.0\Anexos.xlsx" keepAlive="1" name="Anexos2" type="5" refreshedVersion="6" background="1" refreshOnLoad="1" saveData="1">
    <dbPr connection="Provider=Microsoft.ACE.OLEDB.12.0;User ID=Admin;Data Source=C:\Users\jdiazpar\OneDrive - JNJ\Documents\PRI Calculator 2.0\Anexos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FX$" commandType="3"/>
  </connection>
  <connection id="3" xr16:uid="{88E6E9F3-A417-405F-B68A-F5B28B9549A4}" keepAlive="1" name="Query - Resultados" description="Connection to the 'Resultados' query in the workbook." type="5" refreshedVersion="6" background="1" refreshOnLoad="1" saveData="1">
    <dbPr connection="Provider=Microsoft.Mashup.OleDb.1;Data Source=$Workbook$;Location=Resultados;Extended Properties=&quot;&quot;" command="SELECT * FROM [Resultado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<sst xmlns="http://schemas.openxmlformats.org/spreadsheetml/2006/main" count="224" uniqueCount="148">
  <si>
    <t>International Reference Price Calculator (Colombia)</t>
  </si>
  <si>
    <t>*Required parameters</t>
  </si>
  <si>
    <t>Límite inferior (LI)</t>
  </si>
  <si>
    <t>Límite superior (LS)</t>
  </si>
  <si>
    <t>Base</t>
  </si>
  <si>
    <t>Propuesta</t>
  </si>
  <si>
    <t>Country</t>
  </si>
  <si>
    <t>ISO</t>
  </si>
  <si>
    <t>Precio / mg (FX)</t>
  </si>
  <si>
    <t>FX / USD</t>
  </si>
  <si>
    <t>Precio / mg (USD)</t>
  </si>
  <si>
    <t>BRAZIL</t>
  </si>
  <si>
    <t>BRL</t>
  </si>
  <si>
    <t>AUSTRALIA</t>
  </si>
  <si>
    <t>AUD</t>
  </si>
  <si>
    <t>ECUADOR</t>
  </si>
  <si>
    <t>USD</t>
  </si>
  <si>
    <t>NORWAY</t>
  </si>
  <si>
    <t>NOK</t>
  </si>
  <si>
    <t>PORTUGAL</t>
  </si>
  <si>
    <t>EUR</t>
  </si>
  <si>
    <t>UK</t>
  </si>
  <si>
    <t>GBP</t>
  </si>
  <si>
    <t>CANADA</t>
  </si>
  <si>
    <t>CAD</t>
  </si>
  <si>
    <t>ARGENTINA</t>
  </si>
  <si>
    <t>ARS</t>
  </si>
  <si>
    <t>PANAMA</t>
  </si>
  <si>
    <t>SPAIN</t>
  </si>
  <si>
    <t>PERU</t>
  </si>
  <si>
    <t>PEN</t>
  </si>
  <si>
    <t>USA</t>
  </si>
  <si>
    <t>FRANCE</t>
  </si>
  <si>
    <t>GERMANY</t>
  </si>
  <si>
    <t>CHILE</t>
  </si>
  <si>
    <t>CLP</t>
  </si>
  <si>
    <t>MEXICO</t>
  </si>
  <si>
    <t>MXN</t>
  </si>
  <si>
    <t>URUGUAY</t>
  </si>
  <si>
    <t>UYU</t>
  </si>
  <si>
    <t>Propuesto</t>
  </si>
  <si>
    <t>TRM</t>
  </si>
  <si>
    <t>IRP (USD) / mg</t>
  </si>
  <si>
    <t>IRP (COP) / mg</t>
  </si>
  <si>
    <t>Final price (COP)</t>
  </si>
  <si>
    <t>Supporting documentation</t>
  </si>
  <si>
    <t xml:space="preserve"> </t>
  </si>
  <si>
    <t>Fecha (dd/mm/aaaa)</t>
  </si>
  <si>
    <t>Tasa de cambio representativa del mercado (TRM)</t>
  </si>
  <si>
    <t>FECHA</t>
  </si>
  <si>
    <t>UMC (mg)</t>
  </si>
  <si>
    <t>PA</t>
  </si>
  <si>
    <t>FSS (EEUU)</t>
  </si>
  <si>
    <t>NOMA (NOR)</t>
  </si>
  <si>
    <t>PBS (AUS)</t>
  </si>
  <si>
    <t>PETRONE (ESP)</t>
  </si>
  <si>
    <t>ANVISA (BRA)</t>
  </si>
  <si>
    <t>CONSEJO NACIONAL DE FIJACIÓN Y REVSIÓN DE PRECIOS DE MEDICAMENTOS (ECU)</t>
  </si>
  <si>
    <t>eMIT (UK)</t>
  </si>
  <si>
    <t>NICE (UK)</t>
  </si>
  <si>
    <t>RAMQ (CAN)</t>
  </si>
  <si>
    <t>ANMAT (ARG)</t>
  </si>
  <si>
    <t>DIGEMID (PER)</t>
  </si>
  <si>
    <t>L'AM (FRA)</t>
  </si>
  <si>
    <t>INFARMED (POR)</t>
  </si>
  <si>
    <t>CHILE COMPRA (CHI)</t>
  </si>
  <si>
    <t>IMSS (MEX)</t>
  </si>
  <si>
    <t>PANAMA COMPRA (PAN)</t>
  </si>
  <si>
    <t>SIST. COMPRAS PÚBLICAS (ECU)</t>
  </si>
  <si>
    <t>BORTEZOMIB - INJ</t>
  </si>
  <si>
    <t>NHS (UK)</t>
  </si>
  <si>
    <t>ABIRATERONE - TAB</t>
  </si>
  <si>
    <t>APALUTAMIDE - TAB</t>
  </si>
  <si>
    <t>BENDAMUSTINE - INJ</t>
  </si>
  <si>
    <t>BOSENTAN - TAB</t>
  </si>
  <si>
    <t>CANAGLIFLOZIN - TAB</t>
  </si>
  <si>
    <t>CANAGLIFLOZIN / METFORMIN - TAB</t>
  </si>
  <si>
    <t>CINNARIZINE - INJ</t>
  </si>
  <si>
    <t>CINNARIZINE - SOL ORAL</t>
  </si>
  <si>
    <t>CINNARIZINE - TAB</t>
  </si>
  <si>
    <t>DARATUMUMAB - INJ</t>
  </si>
  <si>
    <t>DARUNAVIR - INJ</t>
  </si>
  <si>
    <t>DARUNAVIR - SOL ORAL</t>
  </si>
  <si>
    <t>DARUNAVIR - TAB</t>
  </si>
  <si>
    <t>DARUNAVIR / COBICISTAT - TAB</t>
  </si>
  <si>
    <t>DECITABINE - INJ</t>
  </si>
  <si>
    <t>DOMPERIDONE - INJ</t>
  </si>
  <si>
    <t>DOMPERIDONE - SOL ORAL</t>
  </si>
  <si>
    <t>DOMPERIDONE - TAB</t>
  </si>
  <si>
    <t>EPOPROSTENOL - INJ</t>
  </si>
  <si>
    <t>ESKETAMINE - INJ</t>
  </si>
  <si>
    <t>ESKETAMINE - NASAL SPRAY</t>
  </si>
  <si>
    <t>ETHINYL ESTRADIOL / NORELGESTROMIN - PATCH</t>
  </si>
  <si>
    <t>ETRAVIRINE - TAB</t>
  </si>
  <si>
    <t>FENTANYL - INJ</t>
  </si>
  <si>
    <t>FENTANYL - LOZENGE</t>
  </si>
  <si>
    <t>FENTANYL - NASAL SPRAY</t>
  </si>
  <si>
    <t>FENTANYL - PATCH</t>
  </si>
  <si>
    <t>FENTANYL - SUBLINGUAL SPRAY</t>
  </si>
  <si>
    <t>FENTANYL - TAB</t>
  </si>
  <si>
    <t>GALANTAMINE - INJ</t>
  </si>
  <si>
    <t>GALANTAMINE - SOL ORAL</t>
  </si>
  <si>
    <t>GALANTAMINE - TAB</t>
  </si>
  <si>
    <t>GOLIMUMAB - INJ</t>
  </si>
  <si>
    <t>GUSELKUMAB - INJ</t>
  </si>
  <si>
    <t>HALOPERIDOL - INJ</t>
  </si>
  <si>
    <t>HALOPERIDOL - SOL ORAL</t>
  </si>
  <si>
    <t>HALOPERIDOL - TAB</t>
  </si>
  <si>
    <t>IBRUTINIB - TAB</t>
  </si>
  <si>
    <t>INFLIXIMAB - INJ</t>
  </si>
  <si>
    <t>ITRACONAZOLE - INJ</t>
  </si>
  <si>
    <t>ITRACONAZOLE - SOL ORAL</t>
  </si>
  <si>
    <t>ITRACONAZOLE - TAB</t>
  </si>
  <si>
    <t>MACITENTAN - TAB</t>
  </si>
  <si>
    <t>METHYLPHENIDATE - PATCH</t>
  </si>
  <si>
    <t>METHYLPHENIDATE - SOL ORAL</t>
  </si>
  <si>
    <t>METHYLPHENIDATE - TAB</t>
  </si>
  <si>
    <t>MIGLUSTAT - TAB</t>
  </si>
  <si>
    <t>PALIPERIDONE - INJ</t>
  </si>
  <si>
    <t>PALIPERIDONE - TAB</t>
  </si>
  <si>
    <t>PRUCALOPRIDE - TAB</t>
  </si>
  <si>
    <t>RABEPRAZOLE - TAB</t>
  </si>
  <si>
    <t>RISANKIZUMAB - INJ</t>
  </si>
  <si>
    <t>RISPERIDONE - INJ</t>
  </si>
  <si>
    <t>RISPERIDONE - SOL ORAL</t>
  </si>
  <si>
    <t>RISPERIDONE - TAB</t>
  </si>
  <si>
    <t>SELEXIPAG - TAB</t>
  </si>
  <si>
    <t>TOPIRAMATE - INJ</t>
  </si>
  <si>
    <t>TOPIRAMATE - TAB</t>
  </si>
  <si>
    <t>TRABECTEDIN - INJ</t>
  </si>
  <si>
    <t>TRAMADOL / ACETAMINOPHEN - TAB</t>
  </si>
  <si>
    <t>USTEKINUMAB - INJ</t>
  </si>
  <si>
    <t>BPS (BRA)</t>
  </si>
  <si>
    <t>TOPIRAMATE - SOL ORAL</t>
  </si>
  <si>
    <t>TRAMADOL / ACETAMINOPHEN - SOL ORAL</t>
  </si>
  <si>
    <t>ENZALUTAMIDE - TAB</t>
  </si>
  <si>
    <t>SECUKINUMAB - INJ</t>
  </si>
  <si>
    <t>Concentración (mg)</t>
  </si>
  <si>
    <t>DAROLUTAMIDE - TAB</t>
  </si>
  <si>
    <t>DIMDI (GER)</t>
  </si>
  <si>
    <t>ISATUXIMAB - INJ</t>
  </si>
  <si>
    <t>*No esta</t>
  </si>
  <si>
    <t>* No esta</t>
  </si>
  <si>
    <t>OK</t>
  </si>
  <si>
    <t>No esta</t>
  </si>
  <si>
    <t>BRODALUMAB - INJ</t>
  </si>
  <si>
    <t>IXEKIZUMAB - INJ</t>
  </si>
  <si>
    <t>ACALABRUTINIB - 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</si>
</sst>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6" formatCode="&quot;$&quot;\ #,##0;[Red]\-&quot;$&quot;\ #,##0"/>
    <numFmt numFmtId="42" formatCode="_-&quot;$&quot;\ * #,##0_-;\-&quot;$&quot;\ * #,##0_-;_-&quot;$&quot;\ * &quot;-&quot;_-;_-@_-"/>
    <numFmt numFmtId="41" formatCode="_-* #,##0_-;\-* #,##0_-;_-* &quot;-&quot;_-;_-@_-"/>
    <numFmt numFmtId="43" formatCode="_-* #,##0.00_-;\-* #,##0.00_-;_-* &quot;-&quot;??_-;_-@_-"/>
    <numFmt numFmtId="164" formatCode="0.000"/>
    <numFmt numFmtId="165" formatCode="_-* #,##0.00000_-;\-* #,##0.00000_-;_-* &quot;-&quot;_-;_-@_-"/>
    <numFmt numFmtId="166" formatCode="_-* #,##0.00_-;\-* #,##0.00_-;_-* &quot;-&quot;_-;_-@_-"/>
    <numFmt numFmtId="167" formatCode="_-* #,##0.000_-;\-* #,##0.000_-;_-* &quot;-&quot;??_-;_-@_-"/>
    <numFmt numFmtId="168" formatCode="_-* #,##0.000_-;\-* #,##0.000_-;_-* &quot;-&quot;_-;_-@_-"/>
    <numFmt numFmtId="169" formatCode="0.00000"/>
    <numFmt numFmtId="170" formatCode="_-&quot;$&quot;\ * #,##0.00_-;\-&quot;$&quot;\ * #,##0.00_-;_-&quot;$&quot;\ * &quot;-&quot;_-;_-@_-"/>
    <numFmt numFmtId="171" formatCode="_-* #,##0.0_-;\-* #,##0.0_-;_-* &quot;-&quot;_-;_-@_-"/>
    <numFmt numFmtId="172" formatCode="0.0"/>
    <numFmt numFmtId="173" formatCode="_(&quot;$&quot;\ * #,##0.00_);_(&quot;$&quot;\ * \(#,##0.00\);_(&quot;$&quot;\ * &quot;-&quot;??_);_(@_)"/>
    <numFmt numFmtId="174" formatCode="0.000000"/>
    <numFmt numFmtId="175" formatCode="0.0000"/>
    <numFmt numFmtId="176" formatCode="_-&quot;$&quot;\ * #,##0.0000_-;\-&quot;$&quot;\ * #,##0.0000_-;_-&quot;$&quot;\ * &quot;-&quot;_-;_-@_-"/>
    <numFmt numFmtId="177" formatCode="_-* #,##0.00000_-;\-* #,##0.00000_-;_-* &quot;-&quot;??_-;_-@_-"/>
    <numFmt numFmtId="178" formatCode="_-* #,##0.0000_-;\-* #,##0.000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5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sz val="8"/>
      <color rgb="FF242729"/>
      <name val="Consolas"/>
      <family val="3"/>
    </font>
    <font>
      <sz val="11"/>
      <name val="Courier New"/>
      <family val="3"/>
    </font>
    <font>
      <sz val="8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numFmtId="0" fontId="0" fillId="0" borderId="0"/>
    <xf numFmtId="41" fontId="1" fillId="0" borderId="0"/>
    <xf numFmtId="0" fontId="4" fillId="0" borderId="0"/>
    <xf numFmtId="0" fontId="7" fillId="0" borderId="0"/>
    <xf numFmtId="0" fontId="7" fillId="0" borderId="0"/>
    <xf numFmtId="173" fontId="7" fillId="0" borderId="0"/>
    <xf numFmtId="41" fontId="7" fillId="0" borderId="0"/>
    <xf numFmtId="42" fontId="1" fillId="0" borderId="0"/>
    <xf numFmtId="0" fontId="1" fillId="0" borderId="0"/>
    <xf numFmtId="43" fontId="1" fillId="0" borderId="0" applyFont="0" applyFill="0" applyBorder="0" applyAlignment="0" applyProtection="0"/>
  </cellStyleXfs>
  <cellXfs count="112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/>
    </xf>
    <xf numFmtId="0" fontId="5" fillId="0" borderId="0" xfId="0" applyFont="1"/>
    <xf numFmtId="0" fontId="2" fillId="5" borderId="0" xfId="0" applyFont="1" applyFill="1"/>
    <xf numFmtId="0" fontId="6" fillId="0" borderId="0" xfId="0" applyFont="1"/>
    <xf numFmtId="1" fontId="0" fillId="6" borderId="3" xfId="0" applyNumberFormat="1" applyFill="1" applyBorder="1" applyAlignment="1">
      <alignment horizontal="center"/>
    </xf>
    <xf numFmtId="164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/>
    <xf numFmtId="0" fontId="0" fillId="0" borderId="7" xfId="0" applyBorder="1" applyAlignment="1">
      <alignment horizont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7" fillId="0" borderId="0" xfId="0" applyNumberFormat="1" applyFont="1" applyAlignment="1">
      <alignment horizontal="center"/>
    </xf>
    <xf numFmtId="0" fontId="2" fillId="4" borderId="10" xfId="0" applyFont="1" applyFill="1" applyBorder="1" applyAlignment="1">
      <alignment horizontal="center" vertical="center" wrapText="1"/>
    </xf>
    <xf numFmtId="0" fontId="8" fillId="0" borderId="0" xfId="0" applyFont="1"/>
    <xf numFmtId="164" fontId="0" fillId="0" borderId="0" xfId="0" applyNumberFormat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0" xfId="0" applyNumberFormat="1" applyAlignment="1">
      <alignment horizontal="center" vertical="center"/>
    </xf>
    <xf numFmtId="0" fontId="3" fillId="8" borderId="0" xfId="0" applyFont="1" applyFill="1" applyAlignment="1">
      <alignment horizontal="center"/>
    </xf>
    <xf numFmtId="0" fontId="9" fillId="9" borderId="0" xfId="0" applyFont="1" applyFill="1" applyAlignment="1">
      <alignment horizontal="center"/>
    </xf>
    <xf numFmtId="10" fontId="11" fillId="0" borderId="0" xfId="8" applyNumberFormat="1" applyFont="1"/>
    <xf numFmtId="0" fontId="0" fillId="0" borderId="0" xfId="0" applyAlignment="1">
      <alignment horizontal="center" vertical="center"/>
    </xf>
    <xf numFmtId="10" fontId="0" fillId="0" borderId="0" xfId="8" applyNumberFormat="1" applyFont="1" applyAlignment="1">
      <alignment horizontal="center"/>
    </xf>
    <xf numFmtId="10" fontId="0" fillId="0" borderId="0" xfId="8" applyNumberFormat="1" applyFont="1"/>
    <xf numFmtId="2" fontId="1" fillId="0" borderId="7" xfId="7" applyNumberFormat="1" applyBorder="1" applyAlignment="1">
      <alignment horizontal="center"/>
    </xf>
    <xf numFmtId="10" fontId="13" fillId="0" borderId="0" xfId="8" applyNumberFormat="1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166" fontId="0" fillId="6" borderId="3" xfId="1" applyNumberFormat="1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43" fontId="2" fillId="4" borderId="4" xfId="1" applyNumberFormat="1" applyFont="1" applyFill="1" applyBorder="1" applyAlignment="1">
      <alignment horizontal="center" vertical="center" wrapText="1"/>
    </xf>
    <xf numFmtId="43" fontId="2" fillId="0" borderId="0" xfId="1" applyNumberFormat="1" applyFont="1" applyAlignment="1">
      <alignment horizontal="center" vertical="center" wrapText="1"/>
    </xf>
    <xf numFmtId="43" fontId="0" fillId="0" borderId="0" xfId="1" applyNumberFormat="1" applyFont="1"/>
    <xf numFmtId="41" fontId="0" fillId="0" borderId="0" xfId="0" applyNumberFormat="1"/>
    <xf numFmtId="167" fontId="0" fillId="0" borderId="0" xfId="0" applyNumberFormat="1"/>
    <xf numFmtId="167" fontId="0" fillId="0" borderId="0" xfId="0" applyNumberFormat="1" applyAlignment="1">
      <alignment horizontal="center"/>
    </xf>
    <xf numFmtId="168" fontId="0" fillId="0" borderId="0" xfId="0" applyNumberFormat="1"/>
    <xf numFmtId="169" fontId="0" fillId="0" borderId="0" xfId="0" applyNumberFormat="1" applyAlignment="1">
      <alignment horizontal="center"/>
    </xf>
    <xf numFmtId="169" fontId="0" fillId="7" borderId="0" xfId="0" applyNumberFormat="1" applyFill="1" applyAlignment="1">
      <alignment horizontal="center"/>
    </xf>
    <xf numFmtId="43" fontId="0" fillId="0" borderId="0" xfId="0" applyNumberFormat="1"/>
    <xf numFmtId="169" fontId="4" fillId="0" borderId="11" xfId="0" applyNumberFormat="1" applyFont="1" applyBorder="1" applyAlignment="1">
      <alignment horizontal="center" vertical="center"/>
    </xf>
    <xf numFmtId="169" fontId="4" fillId="0" borderId="13" xfId="0" applyNumberFormat="1" applyFont="1" applyBorder="1" applyAlignment="1">
      <alignment horizontal="center"/>
    </xf>
    <xf numFmtId="6" fontId="12" fillId="0" borderId="0" xfId="0" applyNumberFormat="1" applyFont="1" applyAlignment="1">
      <alignment horizontal="center" vertical="center" wrapText="1"/>
    </xf>
    <xf numFmtId="170" fontId="0" fillId="0" borderId="0" xfId="7" applyNumberFormat="1" applyFont="1"/>
    <xf numFmtId="42" fontId="0" fillId="0" borderId="0" xfId="7" applyFont="1"/>
    <xf numFmtId="169" fontId="3" fillId="2" borderId="0" xfId="0" applyNumberFormat="1" applyFont="1" applyFill="1" applyAlignment="1">
      <alignment horizontal="center"/>
    </xf>
    <xf numFmtId="42" fontId="3" fillId="2" borderId="0" xfId="7" applyFont="1" applyFill="1"/>
    <xf numFmtId="41" fontId="0" fillId="0" borderId="0" xfId="1" applyFont="1" applyAlignment="1">
      <alignment horizontal="center" vertical="center"/>
    </xf>
    <xf numFmtId="41" fontId="0" fillId="0" borderId="0" xfId="0" applyNumberFormat="1" applyAlignment="1">
      <alignment horizontal="center" vertical="center"/>
    </xf>
    <xf numFmtId="171" fontId="0" fillId="0" borderId="0" xfId="1" applyNumberFormat="1" applyFont="1" applyAlignment="1">
      <alignment horizontal="center" vertical="center"/>
    </xf>
    <xf numFmtId="172" fontId="0" fillId="6" borderId="3" xfId="0" applyNumberFormat="1" applyFill="1" applyBorder="1" applyAlignment="1">
      <alignment horizontal="center"/>
    </xf>
    <xf numFmtId="41" fontId="0" fillId="0" borderId="1" xfId="1" applyFont="1" applyBorder="1"/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/>
    <xf numFmtId="14" fontId="7" fillId="0" borderId="0" xfId="0" applyNumberFormat="1" applyFont="1" applyAlignment="1">
      <alignment horizontal="center"/>
    </xf>
    <xf numFmtId="164" fontId="0" fillId="0" borderId="12" xfId="0" applyNumberFormat="1" applyFill="1" applyBorder="1" applyAlignment="1">
      <alignment horizontal="center"/>
    </xf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vertical="center"/>
    </xf>
    <xf numFmtId="174" fontId="12" fillId="0" borderId="0" xfId="0" applyNumberFormat="1" applyFont="1" applyAlignment="1">
      <alignment horizontal="center" vertical="center" wrapText="1"/>
    </xf>
    <xf numFmtId="0" fontId="0" fillId="0" borderId="18" xfId="0" applyBorder="1" applyAlignment="1">
      <alignment horizontal="center"/>
    </xf>
    <xf numFmtId="2" fontId="1" fillId="0" borderId="18" xfId="7" applyNumberFormat="1" applyBorder="1" applyAlignment="1">
      <alignment horizontal="center"/>
    </xf>
    <xf numFmtId="169" fontId="0" fillId="7" borderId="18" xfId="0" applyNumberFormat="1" applyFill="1" applyBorder="1" applyAlignment="1">
      <alignment horizontal="center"/>
    </xf>
    <xf numFmtId="169" fontId="0" fillId="7" borderId="7" xfId="0" applyNumberFormat="1" applyFill="1" applyBorder="1" applyAlignment="1">
      <alignment horizontal="center"/>
    </xf>
    <xf numFmtId="175" fontId="1" fillId="0" borderId="18" xfId="7" applyNumberFormat="1" applyBorder="1" applyAlignment="1">
      <alignment horizontal="center"/>
    </xf>
    <xf numFmtId="43" fontId="0" fillId="0" borderId="0" xfId="1" applyNumberFormat="1" applyFont="1" applyAlignment="1">
      <alignment horizontal="center" vertical="center"/>
    </xf>
    <xf numFmtId="43" fontId="4" fillId="0" borderId="16" xfId="1" applyNumberFormat="1" applyFont="1" applyBorder="1" applyAlignment="1">
      <alignment horizontal="center"/>
    </xf>
    <xf numFmtId="43" fontId="4" fillId="0" borderId="14" xfId="1" applyNumberFormat="1" applyFont="1" applyBorder="1" applyAlignment="1">
      <alignment horizontal="center"/>
    </xf>
    <xf numFmtId="175" fontId="11" fillId="0" borderId="18" xfId="7" applyNumberFormat="1" applyFont="1" applyBorder="1" applyAlignment="1">
      <alignment horizontal="center"/>
    </xf>
    <xf numFmtId="175" fontId="11" fillId="0" borderId="2" xfId="7" applyNumberFormat="1" applyFont="1" applyBorder="1" applyAlignment="1">
      <alignment horizontal="center"/>
    </xf>
    <xf numFmtId="175" fontId="11" fillId="0" borderId="8" xfId="7" applyNumberFormat="1" applyFont="1" applyBorder="1" applyAlignment="1">
      <alignment horizontal="center"/>
    </xf>
    <xf numFmtId="175" fontId="11" fillId="0" borderId="7" xfId="7" applyNumberFormat="1" applyFont="1" applyBorder="1" applyAlignment="1">
      <alignment horizontal="center"/>
    </xf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0" fontId="0" fillId="0" borderId="0" xfId="0" applyNumberFormat="1"/>
    <xf numFmtId="0" fontId="17" fillId="0" borderId="0" xfId="0" applyFont="1" applyBorder="1" applyAlignment="1">
      <alignment horizontal="center" vertical="top"/>
    </xf>
    <xf numFmtId="177" fontId="4" fillId="0" borderId="15" xfId="1" applyNumberFormat="1" applyFont="1" applyBorder="1" applyAlignment="1">
      <alignment horizontal="center" vertical="center"/>
    </xf>
    <xf numFmtId="177" fontId="4" fillId="0" borderId="12" xfId="1" applyNumberFormat="1" applyFont="1" applyBorder="1" applyAlignment="1">
      <alignment horizontal="center" vertical="center"/>
    </xf>
    <xf numFmtId="0" fontId="0" fillId="0" borderId="0" xfId="0" applyBorder="1"/>
    <xf numFmtId="176" fontId="1" fillId="0" borderId="0" xfId="7" applyNumberFormat="1" applyBorder="1"/>
    <xf numFmtId="0" fontId="3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18" xfId="0" applyFill="1" applyBorder="1" applyAlignment="1">
      <alignment horizontal="center"/>
    </xf>
    <xf numFmtId="0" fontId="0" fillId="0" borderId="18" xfId="0" applyBorder="1"/>
    <xf numFmtId="0" fontId="0" fillId="0" borderId="18" xfId="0" applyNumberFormat="1" applyFont="1" applyFill="1" applyBorder="1" applyAlignment="1">
      <alignment horizontal="center"/>
    </xf>
    <xf numFmtId="0" fontId="7" fillId="6" borderId="14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2" fillId="10" borderId="18" xfId="0" applyFont="1" applyFill="1" applyBorder="1" applyAlignment="1">
      <alignment horizontal="center"/>
    </xf>
    <xf numFmtId="0" fontId="18" fillId="0" borderId="0" xfId="0" applyFont="1" applyBorder="1" applyAlignment="1">
      <alignment horizontal="left" vertical="top"/>
    </xf>
    <xf numFmtId="0" fontId="18" fillId="0" borderId="0" xfId="0" applyFont="1" applyBorder="1" applyAlignment="1">
      <alignment horizontal="center" vertical="top"/>
    </xf>
    <xf numFmtId="178" fontId="0" fillId="0" borderId="0" xfId="0" applyNumberFormat="1"/>
    <xf numFmtId="165" fontId="10" fillId="0" borderId="11" xfId="0" applyNumberFormat="1" applyFont="1" applyBorder="1" applyAlignment="1">
      <alignment horizontal="center"/>
    </xf>
    <xf numFmtId="0" fontId="0" fillId="0" borderId="15" xfId="0" applyBorder="1"/>
    <xf numFmtId="0" fontId="10" fillId="0" borderId="13" xfId="0" applyFont="1" applyBorder="1" applyAlignment="1">
      <alignment horizontal="center"/>
    </xf>
    <xf numFmtId="0" fontId="0" fillId="0" borderId="16" xfId="0" applyBorder="1"/>
    <xf numFmtId="0" fontId="0" fillId="6" borderId="18" xfId="0" applyFill="1" applyBorder="1" applyAlignment="1">
      <alignment horizontal="center" vertical="center"/>
    </xf>
    <xf numFmtId="0" fontId="0" fillId="0" borderId="17" xfId="0" applyBorder="1"/>
    <xf numFmtId="43" fontId="0" fillId="0" borderId="0" xfId="9" applyFont="1" applyFill="1"/>
    <xf numFmtId="2" fontId="0" fillId="0" borderId="0" xfId="0" applyNumberFormat="1"/>
    <xf numFmtId="2" fontId="0" fillId="0" borderId="18" xfId="0" applyNumberFormat="1" applyBorder="1"/>
    <xf numFmtId="2" fontId="1" fillId="0" borderId="0" xfId="7" applyNumberFormat="1" applyBorder="1" applyAlignment="1">
      <alignment horizontal="center"/>
    </xf>
  </cellXfs>
  <cellStyles count="10">
    <cellStyle name="Comma" xfId="9" builtinId="3"/>
    <cellStyle name="Comma [0]" xfId="1" builtinId="6"/>
    <cellStyle name="Comma [0] 2" xfId="6" xr:uid="{00000000-0005-0000-0000-000007000000}"/>
    <cellStyle name="Currency [0]" xfId="7" builtinId="7"/>
    <cellStyle name="Currency 2" xfId="5" xr:uid="{00000000-0005-0000-0000-000006000000}"/>
    <cellStyle name="Normal" xfId="0" builtinId="0"/>
    <cellStyle name="Normal 2" xfId="2" xr:uid="{00000000-0005-0000-0000-000002000000}"/>
    <cellStyle name="Normal 3" xfId="3" xr:uid="{00000000-0005-0000-0000-000004000000}"/>
    <cellStyle name="Percent" xfId="8" builtinId="5"/>
    <cellStyle name="Percent 2" xfId="4" xr:uid="{00000000-0005-0000-0000-000005000000}"/>
  </cellStyles>
  <dxfs count="2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  <alignment horizontal="center" vertical="bottom" textRotation="0" wrapText="0" indent="0" justifyLastLine="0" shrinkToFit="0" readingOrder="0"/>
    </dxf>
    <dxf>
      <numFmt numFmtId="0" formatCode="General"/>
    </dxf>
    <dxf>
      <font>
        <color auto="1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9" formatCode="d/mm/yyyy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PRI</a:t>
            </a:r>
            <a:r>
              <a:rPr lang="en-US" b="1" baseline="0"/>
              <a:t> Estimado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v>IRP base</c:v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strRef>
              <c:f>'PRI Calculator 2.0'!$A$11:$A$27</c:f>
              <c:strCache>
                <c:ptCount val="17"/>
                <c:pt idx="0">
                  <c:v>BRA</c:v>
                </c:pt>
                <c:pt idx="1">
                  <c:v>USA</c:v>
                </c:pt>
                <c:pt idx="2">
                  <c:v>NOR</c:v>
                </c:pt>
                <c:pt idx="3">
                  <c:v>AUS</c:v>
                </c:pt>
                <c:pt idx="4">
                  <c:v>ARG</c:v>
                </c:pt>
                <c:pt idx="5">
                  <c:v>FRA</c:v>
                </c:pt>
                <c:pt idx="6">
                  <c:v>CAN</c:v>
                </c:pt>
                <c:pt idx="7">
                  <c:v>SPA</c:v>
                </c:pt>
                <c:pt idx="8">
                  <c:v>UK</c:v>
                </c:pt>
                <c:pt idx="9">
                  <c:v>CHI</c:v>
                </c:pt>
                <c:pt idx="10">
                  <c:v>PER</c:v>
                </c:pt>
                <c:pt idx="11">
                  <c:v>POR</c:v>
                </c:pt>
                <c:pt idx="12">
                  <c:v>ECU</c:v>
                </c:pt>
                <c:pt idx="13">
                  <c:v>PAN</c:v>
                </c:pt>
                <c:pt idx="14">
                  <c:v>MEX</c:v>
                </c:pt>
                <c:pt idx="15">
                  <c:v>GER</c:v>
                </c:pt>
                <c:pt idx="16">
                  <c:v>URU</c:v>
                </c:pt>
              </c:strCache>
            </c:strRef>
          </c:cat>
          <c:val>
            <c:numRef>
              <c:f>'PRI Calculator 2.0'!$F$11:$F$27</c:f>
              <c:numCache>
                <c:formatCode>0.0000</c:formatCode>
                <c:ptCount val="17"/>
                <c:pt idx="0">
                  <c:v>1.3809896101764325</c:v>
                </c:pt>
                <c:pt idx="1">
                  <c:v>3.1627833333333335</c:v>
                </c:pt>
                <c:pt idx="2">
                  <c:v>3.3875920394357371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A3-46CA-9DAF-0F27D174B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17573952"/>
        <c:axId val="717574280"/>
      </c:barChart>
      <c:lineChart>
        <c:grouping val="standard"/>
        <c:varyColors val="0"/>
        <c:ser>
          <c:idx val="4"/>
          <c:order val="1"/>
          <c:tx>
            <c:v>IRP</c:v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'PRI Calculator 2.0'!$A$11:$A$27</c:f>
              <c:strCache>
                <c:ptCount val="17"/>
                <c:pt idx="0">
                  <c:v>BRA</c:v>
                </c:pt>
                <c:pt idx="1">
                  <c:v>USA</c:v>
                </c:pt>
                <c:pt idx="2">
                  <c:v>NOR</c:v>
                </c:pt>
                <c:pt idx="3">
                  <c:v>AUS</c:v>
                </c:pt>
                <c:pt idx="4">
                  <c:v>ARG</c:v>
                </c:pt>
                <c:pt idx="5">
                  <c:v>FRA</c:v>
                </c:pt>
                <c:pt idx="6">
                  <c:v>CAN</c:v>
                </c:pt>
                <c:pt idx="7">
                  <c:v>SPA</c:v>
                </c:pt>
                <c:pt idx="8">
                  <c:v>UK</c:v>
                </c:pt>
                <c:pt idx="9">
                  <c:v>CHI</c:v>
                </c:pt>
                <c:pt idx="10">
                  <c:v>PER</c:v>
                </c:pt>
                <c:pt idx="11">
                  <c:v>POR</c:v>
                </c:pt>
                <c:pt idx="12">
                  <c:v>ECU</c:v>
                </c:pt>
                <c:pt idx="13">
                  <c:v>PAN</c:v>
                </c:pt>
                <c:pt idx="14">
                  <c:v>MEX</c:v>
                </c:pt>
                <c:pt idx="15">
                  <c:v>GER</c:v>
                </c:pt>
                <c:pt idx="16">
                  <c:v>URU</c:v>
                </c:pt>
              </c:strCache>
            </c:strRef>
          </c:cat>
          <c:val>
            <c:numRef>
              <c:f>'PRI Calculator 2.0'!$I$11:$I$27</c:f>
              <c:numCache>
                <c:formatCode>_-* #,##0.000_-;\-* #,##0.000_-;_-* "-"??_-;_-@_-</c:formatCode>
                <c:ptCount val="17"/>
                <c:pt idx="0">
                  <c:v>2.271886471754883</c:v>
                </c:pt>
                <c:pt idx="1">
                  <c:v>2.271886471754883</c:v>
                </c:pt>
                <c:pt idx="2">
                  <c:v>2.271886471754883</c:v>
                </c:pt>
                <c:pt idx="3">
                  <c:v>2.271886471754883</c:v>
                </c:pt>
                <c:pt idx="4">
                  <c:v>2.271886471754883</c:v>
                </c:pt>
                <c:pt idx="5">
                  <c:v>2.271886471754883</c:v>
                </c:pt>
                <c:pt idx="6">
                  <c:v>2.271886471754883</c:v>
                </c:pt>
                <c:pt idx="7">
                  <c:v>2.271886471754883</c:v>
                </c:pt>
                <c:pt idx="8">
                  <c:v>2.271886471754883</c:v>
                </c:pt>
                <c:pt idx="9">
                  <c:v>2.271886471754883</c:v>
                </c:pt>
                <c:pt idx="10">
                  <c:v>2.271886471754883</c:v>
                </c:pt>
                <c:pt idx="11">
                  <c:v>2.271886471754883</c:v>
                </c:pt>
                <c:pt idx="12">
                  <c:v>2.271886471754883</c:v>
                </c:pt>
                <c:pt idx="13">
                  <c:v>2.271886471754883</c:v>
                </c:pt>
                <c:pt idx="14">
                  <c:v>2.271886471754883</c:v>
                </c:pt>
                <c:pt idx="15">
                  <c:v>2.271886471754883</c:v>
                </c:pt>
                <c:pt idx="16">
                  <c:v>2.271886471754883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A3-46CA-9DAF-0F27D174B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573952"/>
        <c:axId val="717574280"/>
      </c:lineChart>
      <c:catAx>
        <c:axId val="71757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7574280"/>
        <c:crosses val="autoZero"/>
        <c:auto val="1"/>
        <c:lblAlgn val="ctr"/>
        <c:lblOffset val="100"/>
        <c:noMultiLvlLbl val="0"/>
      </c:catAx>
      <c:valAx>
        <c:axId val="717574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Price / mg</a:t>
                </a: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7573952"/>
        <c:crosses val="autoZero"/>
        <c:crossBetween val="between"/>
      </c:valAx>
    </c:plotArea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435429</xdr:colOff>
      <xdr:row>4</xdr:row>
      <xdr:rowOff>239486</xdr:rowOff>
    </xdr:from>
    <xdr:to>
      <xdr:col>12</xdr:col>
      <xdr:colOff>370117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729343</xdr:colOff>
      <xdr:row>0</xdr:row>
      <xdr:rowOff>53234</xdr:rowOff>
    </xdr:from>
    <xdr:to>
      <xdr:col>1</xdr:col>
      <xdr:colOff>1251856</xdr:colOff>
      <xdr:row>2</xdr:row>
      <xdr:rowOff>186852</xdr:rowOff>
    </xdr:to>
    <xdr:pic>
      <xdr:nvPicPr>
        <xdr:cNvPr id="31" name="Picture 30" descr="Logo de Janssen: la historia y el significado del logotipo, la ...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/>
        <a:srcRect l="2125" t="7467" b="15370"/>
        <a:stretch>
          <a:fillRect/>
        </a:stretch>
      </xdr:blipFill>
      <xdr:spPr bwMode="auto">
        <a:xfrm>
          <a:off x="729343" y="53234"/>
          <a:ext cx="1491342" cy="667018"/>
        </a:xfrm>
        <a:prstGeom prst="rect">
          <a:avLst/>
        </a:prstGeom>
        <a:noFill/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175260</xdr:colOff>
          <xdr:row>0</xdr:row>
          <xdr:rowOff>160020</xdr:rowOff>
        </xdr:from>
        <xdr:to>
          <xdr:col>11</xdr:col>
          <xdr:colOff>1211580</xdr:colOff>
          <xdr:row>2</xdr:row>
          <xdr:rowOff>175260</xdr:rowOff>
        </xdr:to>
        <xdr:sp macro="" textlink="">
          <xdr:nvSpPr>
            <xdr:cNvPr id="1029" name="ComboBox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304800</xdr:colOff>
          <xdr:row>0</xdr:row>
          <xdr:rowOff>175260</xdr:rowOff>
        </xdr:from>
        <xdr:to>
          <xdr:col>16</xdr:col>
          <xdr:colOff>723900</xdr:colOff>
          <xdr:row>2</xdr:row>
          <xdr:rowOff>175260</xdr:rowOff>
        </xdr:to>
        <xdr:sp macro="" textlink="">
          <xdr:nvSpPr>
            <xdr:cNvPr id="1030" name="ComboBox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883920</xdr:colOff>
          <xdr:row>1</xdr:row>
          <xdr:rowOff>45720</xdr:rowOff>
        </xdr:from>
        <xdr:to>
          <xdr:col>19</xdr:col>
          <xdr:colOff>518160</xdr:colOff>
          <xdr:row>2</xdr:row>
          <xdr:rowOff>106680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ADF6EA53-3FDA-4895-9940-A181672DA848}" autoFormatId="16" applyNumberFormats="0" applyBorderFormats="0" applyFontFormats="0" applyPatternFormats="0" applyAlignmentFormats="0" applyWidthHeightFormats="0">
  <queryTableRefresh nextId="25">
    <queryTableFields count="21">
      <queryTableField id="1" name="PA" tableColumnId="1"/>
      <queryTableField id="2" name="FSS (EEUU)" tableColumnId="2"/>
      <queryTableField id="3" name="NOMA (NOR)" tableColumnId="3"/>
      <queryTableField id="4" name="PBS (AUS)" tableColumnId="4"/>
      <queryTableField id="5" name="PETRONE (ESP)" tableColumnId="5"/>
      <queryTableField id="6" name="ANVISA (BRA)" tableColumnId="6"/>
      <queryTableField id="22" name="BPS (BRA)" tableColumnId="20"/>
      <queryTableField id="7" name="CONSEJO NACIONAL DE FIJACIÓN Y REVSIÓN DE PRECIOS DE MEDICAMENTOS (ECU)" tableColumnId="7"/>
      <queryTableField id="18" name="SIST. COMPRAS PÚBLICAS (ECU)" tableColumnId="18"/>
      <queryTableField id="8" name="eMIT (UK)" tableColumnId="8"/>
      <queryTableField id="9" name="NICE (UK)" tableColumnId="9"/>
      <queryTableField id="20" name="NHS (UK)" tableColumnId="19"/>
      <queryTableField id="10" name="RAMQ (CAN)" tableColumnId="10"/>
      <queryTableField id="11" name="ANMAT (ARG)" tableColumnId="11"/>
      <queryTableField id="12" name="DIGEMID (PER)" tableColumnId="12"/>
      <queryTableField id="13" name="L'AM (FRA)" tableColumnId="13"/>
      <queryTableField id="14" name="INFARMED (POR)" tableColumnId="14"/>
      <queryTableField id="15" name="CHILE COMPRA (CHI)" tableColumnId="15"/>
      <queryTableField id="16" name="IMSS (MEX)" tableColumnId="16"/>
      <queryTableField id="17" name="PANAMA COMPRA (PAN)" tableColumnId="17"/>
      <queryTableField id="24" name="DIMDI (GER)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nexos" refreshOnLoad="1" connectionId="1" xr16:uid="{A3DCF420-8A1C-46DE-A89A-5EF26D70B6E8}" autoFormatId="16" applyNumberFormats="0" applyBorderFormats="0" applyFontFormats="0" applyPatternFormats="0" applyAlignmentFormats="0" applyWidthHeightFormats="0">
  <queryTableRefresh nextId="3">
    <queryTableFields count="2">
      <queryTableField id="1" name="Fecha (dd/mm/aaaa)" tableColumnId="1"/>
      <queryTableField id="2" name="Tasa de cambio representativa del mercado (TRM)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nexos" refreshOnLoad="1" connectionId="2" xr16:uid="{147C67AF-39C7-463D-B90B-F35DA070485B}" autoFormatId="16" applyNumberFormats="0" applyBorderFormats="0" applyFontFormats="0" applyPatternFormats="0" applyAlignmentFormats="0" applyWidthHeightFormats="0">
  <queryTableRefresh nextId="13">
    <queryTableFields count="12">
      <queryTableField id="1" name="FECHA" tableColumnId="1"/>
      <queryTableField id="2" name="ARS" tableColumnId="2"/>
      <queryTableField id="3" name="AUD" tableColumnId="3"/>
      <queryTableField id="4" name="BRL" tableColumnId="4"/>
      <queryTableField id="5" name="CAD" tableColumnId="5"/>
      <queryTableField id="6" name="CLP" tableColumnId="6"/>
      <queryTableField id="7" name="EUR" tableColumnId="7"/>
      <queryTableField id="8" name="GBP" tableColumnId="8"/>
      <queryTableField id="9" name="MXN" tableColumnId="9"/>
      <queryTableField id="10" name="NOK" tableColumnId="10"/>
      <queryTableField id="11" name="PEN" tableColumnId="11"/>
      <queryTableField id="12" name="UYU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F4339A-4C6F-4800-89CC-21F120C6D4DA}" name="Resultados" displayName="Resultados" ref="A1:U3" tableType="queryTable" totalsRowShown="0" headerRowDxfId="22">
  <autoFilter ref="A1:U3" xr:uid="{3731C120-EBC7-4A04-95BE-49EDC07C2EB4}"/>
  <tableColumns count="21">
    <tableColumn id="1" xr3:uid="{0965E0A7-5CE3-4D28-95EE-B67AEBA95FAA}" uniqueName="1" name="PA" queryTableFieldId="1" dataDxfId="12"/>
    <tableColumn id="2" xr3:uid="{0AFEA951-82CF-42E0-91DB-5743FC4D2AC9}" uniqueName="2" name="FSS (EEUU)" queryTableFieldId="2"/>
    <tableColumn id="3" xr3:uid="{8429F26A-845E-4095-8D36-DEC273518D2D}" uniqueName="3" name="NOMA (NOR)" queryTableFieldId="3"/>
    <tableColumn id="4" xr3:uid="{E574E4CD-590E-454E-ADEB-D326E7F1A52D}" uniqueName="4" name="PBS (AUS)" queryTableFieldId="4"/>
    <tableColumn id="5" xr3:uid="{048C2ECF-122D-4E1A-8300-734563183698}" uniqueName="5" name="PETRONE (ESP)" queryTableFieldId="5"/>
    <tableColumn id="6" xr3:uid="{BA1F24D6-7246-4152-BD84-93AD419B7222}" uniqueName="6" name="ANVISA (BRA)" queryTableFieldId="6"/>
    <tableColumn id="20" xr3:uid="{221B0433-52A5-4237-AF23-47946B8F5C49}" uniqueName="20" name="BPS (BRA)" queryTableFieldId="22"/>
    <tableColumn id="7" xr3:uid="{3ABECFE7-7323-4366-B745-7A95FE654083}" uniqueName="7" name="CONSEJO NACIONAL DE FIJACIÓN Y REVSIÓN DE PRECIOS DE MEDICAMENTOS (ECU)" queryTableFieldId="7"/>
    <tableColumn id="18" xr3:uid="{B981D821-51FD-4B45-8306-53AC3CBF8553}" uniqueName="18" name="SIST. COMPRAS PÚBLICAS (ECU)" queryTableFieldId="18"/>
    <tableColumn id="8" xr3:uid="{C924F091-8A8C-4790-ABBF-4ADAC04A6C28}" uniqueName="8" name="eMIT (UK)" queryTableFieldId="8"/>
    <tableColumn id="9" xr3:uid="{1F937A2D-3FBF-4F8B-AACB-CBE810590462}" uniqueName="9" name="NICE (UK)" queryTableFieldId="9"/>
    <tableColumn id="19" xr3:uid="{F7936C94-C802-4085-91F6-B54CA0CDB09B}" uniqueName="19" name="NHS (UK)" queryTableFieldId="20"/>
    <tableColumn id="10" xr3:uid="{AD42E48C-ECC7-4977-BCDB-DC059D467E32}" uniqueName="10" name="RAMQ (CAN)" queryTableFieldId="10"/>
    <tableColumn id="11" xr3:uid="{9F095CAF-CAE7-4B3F-BB98-C88DCB672CBD}" uniqueName="11" name="ANMAT (ARG)" queryTableFieldId="11"/>
    <tableColumn id="12" xr3:uid="{9B68D02D-EBB6-4D51-8670-9B2D83A53C72}" uniqueName="12" name="DIGEMID (PER)" queryTableFieldId="12"/>
    <tableColumn id="13" xr3:uid="{CC3ECCD2-ECC2-45D9-9DE1-D60763BFD016}" uniqueName="13" name="L'AM (FRA)" queryTableFieldId="13"/>
    <tableColumn id="14" xr3:uid="{EE9BBF24-7C73-4AAE-AEF4-3768305B46A4}" uniqueName="14" name="INFARMED (POR)" queryTableFieldId="14"/>
    <tableColumn id="15" xr3:uid="{00920CE3-1BF8-4427-855A-3D63EEE9B86E}" uniqueName="15" name="CHILE COMPRA (CHI)" queryTableFieldId="15"/>
    <tableColumn id="16" xr3:uid="{8C89EB3F-ACE9-4354-B038-8EB423A318FB}" uniqueName="16" name="IMSS (MEX)" queryTableFieldId="16"/>
    <tableColumn id="17" xr3:uid="{2378093E-AC1F-4264-BEFC-2B89B37BEFF8}" uniqueName="17" name="PANAMA COMPRA (PAN)" queryTableFieldId="17"/>
    <tableColumn id="21" xr3:uid="{CDE1D330-DE34-4DD4-861F-B2120395602C}" uniqueName="21" name="DIMDI (GER)" queryTableField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650FB84-5B40-4CE8-BA25-45CD9D7BF880}" name="TRM_" displayName="TRM_" ref="A1:B369" tableType="queryTable" totalsRowShown="0">
  <autoFilter ref="A1:B369" xr:uid="{C5855D05-2E42-4CEB-BAE8-BEF9850913C4}"/>
  <tableColumns count="2">
    <tableColumn id="1" xr3:uid="{5ECC52B9-2A16-4C9A-9F6F-6B677F3198B8}" uniqueName="1" name="Fecha (dd/mm/aaaa)" queryTableFieldId="1" dataDxfId="19"/>
    <tableColumn id="2" xr3:uid="{9ADD30B5-3F53-4254-BDE1-0C0F48EB1C31}" uniqueName="2" name="Tasa de cambio representativa del mercado (TRM)" queryTableFieldId="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A8DBA8-4DA0-47E2-B6AD-E1B91113D343}" name="FX_" displayName="FX_" ref="A1:L369" tableType="queryTable" totalsRowShown="0" headerRowDxfId="21" dataDxfId="20">
  <autoFilter ref="A1:L369" xr:uid="{01745C5A-15BD-40A2-A7BA-1C748F507D77}"/>
  <tableColumns count="12">
    <tableColumn id="1" xr3:uid="{01039EFA-54BA-4569-83CC-40D3B3094480}" uniqueName="1" name="FECHA" queryTableFieldId="1" dataDxfId="11"/>
    <tableColumn id="2" xr3:uid="{24EA2B24-3C02-4FAF-BFE5-3ACE2C4046F4}" uniqueName="2" name="ARS" queryTableFieldId="2" dataDxfId="10"/>
    <tableColumn id="3" xr3:uid="{AAD0FB47-9C3A-4B19-8E64-42D506EBC04B}" uniqueName="3" name="AUD" queryTableFieldId="3" dataDxfId="9"/>
    <tableColumn id="4" xr3:uid="{20C6C9BD-680B-4688-B91C-B0C46866B802}" uniqueName="4" name="BRL" queryTableFieldId="4" dataDxfId="8"/>
    <tableColumn id="5" xr3:uid="{2830B9EF-CC53-4FE7-BDD2-0EE788092A75}" uniqueName="5" name="CAD" queryTableFieldId="5" dataDxfId="7"/>
    <tableColumn id="6" xr3:uid="{5859A3C9-E577-43FA-A027-DAB681A3CB05}" uniqueName="6" name="CLP" queryTableFieldId="6" dataDxfId="6"/>
    <tableColumn id="7" xr3:uid="{EC430611-E9D8-4A4F-8C06-F5AADD76D8C9}" uniqueName="7" name="EUR" queryTableFieldId="7" dataDxfId="5"/>
    <tableColumn id="8" xr3:uid="{0F5D64F6-DAB3-4E9A-A664-54F53E3C8103}" uniqueName="8" name="GBP" queryTableFieldId="8" dataDxfId="4"/>
    <tableColumn id="9" xr3:uid="{DD580E3F-7397-4FF7-A9A4-03F52C6B8CD5}" uniqueName="9" name="MXN" queryTableFieldId="9" dataDxfId="3"/>
    <tableColumn id="10" xr3:uid="{BB655B73-2BBE-4560-96C8-B3908FEBDB39}" uniqueName="10" name="NOK" queryTableFieldId="10" dataDxfId="2"/>
    <tableColumn id="11" xr3:uid="{F98BEEC0-7A99-4AA9-93FD-4389A7A056F8}" uniqueName="11" name="PEN" queryTableFieldId="11" dataDxfId="1"/>
    <tableColumn id="12" xr3:uid="{D01E82B9-379A-4EF2-A71B-BD11C9A6BF12}" uniqueName="12" name="UYU" queryTableFieldId="1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U1048229"/>
  <sheetViews>
    <sheetView showGridLines="0" tabSelected="1" zoomScale="70" zoomScaleNormal="70" workbookViewId="0"/>
  </sheetViews>
  <sheetFormatPr defaultRowHeight="14.4" x14ac:dyDescent="0.3"/>
  <cols>
    <col min="1" max="1" width="14.109375" style="36" customWidth="1"/>
    <col min="2" max="2" width="21.109375" style="36" customWidth="1"/>
    <col min="3" max="3" width="12" style="14" customWidth="1"/>
    <col min="4" max="4" width="12" style="36" customWidth="1"/>
    <col min="5" max="5" width="15.44140625" style="36" customWidth="1"/>
    <col min="6" max="6" width="14.44140625" style="36" customWidth="1"/>
    <col min="7" max="7" width="13.5546875" style="36" customWidth="1"/>
    <col min="8" max="8" width="18.33203125" style="36" customWidth="1"/>
    <col min="9" max="9" width="16.33203125" style="36" bestFit="1" customWidth="1"/>
    <col min="10" max="10" width="16.33203125" style="36" customWidth="1"/>
    <col min="11" max="11" width="21.6640625" style="36" customWidth="1"/>
    <col min="12" max="12" width="21.6640625" style="36" bestFit="1" customWidth="1"/>
    <col min="13" max="13" width="9.6640625" style="36" customWidth="1"/>
    <col min="14" max="14" width="11.5546875" style="36" customWidth="1"/>
    <col min="15" max="15" width="22.6640625" style="36" bestFit="1" customWidth="1"/>
    <col min="16" max="17" width="15.33203125" style="36" bestFit="1" customWidth="1"/>
  </cols>
  <sheetData>
    <row r="2" spans="1:47" ht="27" customHeight="1" x14ac:dyDescent="0.45">
      <c r="C2" s="3" t="s">
        <v>0</v>
      </c>
      <c r="M2" s="97" t="s">
        <v>147</v>
      </c>
    </row>
    <row r="3" spans="1:47" ht="27" customHeight="1" x14ac:dyDescent="0.35">
      <c r="B3" s="17"/>
    </row>
    <row r="4" spans="1:47" x14ac:dyDescent="0.3">
      <c r="A4" s="1"/>
      <c r="B4" s="1"/>
      <c r="C4" s="2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ht="19.95" customHeight="1" thickBot="1" x14ac:dyDescent="0.35">
      <c r="A5" s="106" t="s">
        <v>1</v>
      </c>
      <c r="B5" s="107"/>
      <c r="D5" s="14"/>
    </row>
    <row r="6" spans="1:47" ht="15.6" customHeight="1" x14ac:dyDescent="0.45">
      <c r="B6" s="3"/>
      <c r="D6" s="102" t="s">
        <v>2</v>
      </c>
      <c r="E6" s="103"/>
      <c r="F6" s="82">
        <f>_xlfn.PERCENTILE.INC($F$11:$F$27,0.25)-1.5*(_xlfn.PERCENTILE.INC($F$11:$F$27,0.75)-_xlfn.PERCENTILE.INC($F$11:$F$27,0.25))</f>
        <v>0.7669346498104046</v>
      </c>
      <c r="G6" s="80">
        <f>_xlfn.PERCENTILE.INC($G$11:$G$27,0.25)-1.5*(_xlfn.PERCENTILE.INC($G$11:$G$27,0.75)-_xlfn.PERCENTILE.INC($G$11:$G$27,0.25))</f>
        <v>0.7669346498104046</v>
      </c>
    </row>
    <row r="7" spans="1:47" ht="15" customHeight="1" thickBot="1" x14ac:dyDescent="0.35">
      <c r="D7" s="104" t="s">
        <v>3</v>
      </c>
      <c r="E7" s="105"/>
      <c r="F7" s="83">
        <f>_xlfn.PERCENTILE.INC($F$11:$F$27,0.75)+1.5*(_xlfn.PERCENTILE.INC($F$11:$F$27,0.75)-_xlfn.PERCENTILE.INC($F$11:$F$27,0.25))</f>
        <v>4.7801395083290137</v>
      </c>
      <c r="G7" s="81">
        <f>_xlfn.PERCENTILE.INC($G$11:$G$27,0.75)+1.5*(_xlfn.PERCENTILE.INC($G$11:$G$27,0.75)-_xlfn.PERCENTILE.INC($G$11:$G$27,0.25))</f>
        <v>4.7801395083290137</v>
      </c>
    </row>
    <row r="8" spans="1:47" x14ac:dyDescent="0.3">
      <c r="D8" s="14"/>
      <c r="F8" s="14"/>
      <c r="G8" s="21"/>
    </row>
    <row r="9" spans="1:47" ht="15" customHeight="1" thickBot="1" x14ac:dyDescent="0.35">
      <c r="D9" s="5"/>
      <c r="E9" s="5"/>
      <c r="F9" s="22" t="s">
        <v>4</v>
      </c>
      <c r="G9" s="23" t="s">
        <v>5</v>
      </c>
      <c r="H9" s="35"/>
      <c r="K9" s="5"/>
      <c r="L9" s="5"/>
      <c r="M9" s="5"/>
      <c r="N9" s="5"/>
    </row>
    <row r="10" spans="1:47" ht="46.8" customHeight="1" x14ac:dyDescent="0.3">
      <c r="B10" s="12" t="s">
        <v>6</v>
      </c>
      <c r="C10" s="13" t="s">
        <v>7</v>
      </c>
      <c r="D10" s="16" t="s">
        <v>8</v>
      </c>
      <c r="E10" s="13" t="s">
        <v>9</v>
      </c>
      <c r="F10" s="16" t="s">
        <v>10</v>
      </c>
      <c r="G10" s="37" t="s">
        <v>10</v>
      </c>
      <c r="H10" s="38"/>
      <c r="J10" s="30"/>
      <c r="K10" s="9"/>
      <c r="L10" s="14"/>
      <c r="M10" s="39"/>
      <c r="N10" s="39"/>
      <c r="O10" s="31"/>
      <c r="P10" s="40"/>
    </row>
    <row r="11" spans="1:47" x14ac:dyDescent="0.3">
      <c r="A11" s="14" t="str">
        <f t="shared" ref="A11:A27" si="0">LEFT(B11,3)</f>
        <v>BRA</v>
      </c>
      <c r="B11" s="19" t="s">
        <v>11</v>
      </c>
      <c r="C11" s="68" t="s">
        <v>12</v>
      </c>
      <c r="D11" s="109">
        <v>7.281827777777778</v>
      </c>
      <c r="E11" s="70" cm="1">
        <f t="array" ref="E11">INDEX(FX!$A$1:$BA$1000,MIN(ROW(FX_[]))+ROWS(FX_[])-1,MATCH(C11,FX_[#Headers],0))</f>
        <v>0.18964876021798391</v>
      </c>
      <c r="F11" s="76">
        <f>IF(D11="","",D11*E11)</f>
        <v>1.3809896101764325</v>
      </c>
      <c r="G11" s="77">
        <f>F11</f>
        <v>1.3809896101764325</v>
      </c>
      <c r="H11" s="39"/>
      <c r="I11" s="41">
        <f t="shared" ref="I11:I27" si="1">$F$30</f>
        <v>2.271886471754883</v>
      </c>
      <c r="L11" s="42"/>
      <c r="M11" s="42"/>
      <c r="N11" s="39"/>
      <c r="O11" s="31"/>
      <c r="P11" s="40"/>
    </row>
    <row r="12" spans="1:47" x14ac:dyDescent="0.3">
      <c r="A12" s="14" t="str">
        <f t="shared" si="0"/>
        <v>USA</v>
      </c>
      <c r="B12" s="19" t="s">
        <v>31</v>
      </c>
      <c r="C12" s="68" t="s">
        <v>16</v>
      </c>
      <c r="D12" s="110">
        <v>3.1627833333333335</v>
      </c>
      <c r="E12" s="70">
        <v>1</v>
      </c>
      <c r="F12" s="76">
        <f>IF(D12="","",D12*E12)</f>
        <v>3.1627833333333335</v>
      </c>
      <c r="G12" s="77">
        <f>F12</f>
        <v>3.1627833333333335</v>
      </c>
      <c r="H12" s="39"/>
      <c r="I12" s="41">
        <f t="shared" si="1"/>
        <v>2.271886471754883</v>
      </c>
      <c r="L12" s="42"/>
      <c r="M12" s="42"/>
      <c r="N12" s="39"/>
      <c r="O12" s="40">
        <f ca="1">OFFSET(M3,0,1)</f>
        <v>0</v>
      </c>
      <c r="P12" s="31"/>
      <c r="Q12" s="40"/>
    </row>
    <row r="13" spans="1:47" x14ac:dyDescent="0.3">
      <c r="A13" s="14" t="str">
        <f t="shared" si="0"/>
        <v>NOR</v>
      </c>
      <c r="B13" s="19" t="s">
        <v>17</v>
      </c>
      <c r="C13" s="68" t="s">
        <v>18</v>
      </c>
      <c r="D13" s="108">
        <v>31.537916666666668</v>
      </c>
      <c r="E13" s="70" cm="1">
        <f t="array" ref="E13">INDEX(FX!$A$1:$BA$1000,MIN(ROW(FX_[]))+ROWS(FX_[])-1,MATCH(C13,FX_[#Headers],0))</f>
        <v>0.1074133106267029</v>
      </c>
      <c r="F13" s="76">
        <f>IF(D13="","",D13*E13)</f>
        <v>3.3875920394357371</v>
      </c>
      <c r="G13" s="77">
        <f>F13</f>
        <v>3.3875920394357371</v>
      </c>
      <c r="H13" s="39"/>
      <c r="I13" s="41">
        <f t="shared" si="1"/>
        <v>2.271886471754883</v>
      </c>
      <c r="J13" s="14"/>
      <c r="L13" s="42"/>
      <c r="M13" s="42"/>
      <c r="N13" s="39"/>
      <c r="O13" s="40"/>
      <c r="P13" s="40"/>
    </row>
    <row r="14" spans="1:47" x14ac:dyDescent="0.3">
      <c r="A14" s="14" t="str">
        <f t="shared" si="0"/>
        <v>AUS</v>
      </c>
      <c r="B14" s="19" t="s">
        <v>13</v>
      </c>
      <c r="C14" s="68" t="s">
        <v>14</v>
      </c>
      <c r="D14" s="72"/>
      <c r="E14" s="70" cm="1">
        <f t="array" ref="E14">INDEX(FX!$A$1:$BA$1000,MIN(ROW(FX_[]))+ROWS(FX_[])-1,MATCH(C14,FX_[#Headers],0))</f>
        <v>0.70171171662125298</v>
      </c>
      <c r="F14" s="76" t="str">
        <f>IF(D14="","",D14*E14)</f>
        <v/>
      </c>
      <c r="G14" s="77" t="str">
        <f>F14</f>
        <v/>
      </c>
      <c r="H14" s="39"/>
      <c r="I14" s="41">
        <f t="shared" si="1"/>
        <v>2.271886471754883</v>
      </c>
      <c r="J14" s="14"/>
      <c r="L14" s="42"/>
      <c r="M14" s="42"/>
      <c r="N14" s="39"/>
      <c r="O14" s="40"/>
      <c r="P14" s="40"/>
    </row>
    <row r="15" spans="1:47" s="14" customFormat="1" x14ac:dyDescent="0.3">
      <c r="A15" s="14" t="str">
        <f t="shared" si="0"/>
        <v>ARG</v>
      </c>
      <c r="B15" s="19" t="s">
        <v>25</v>
      </c>
      <c r="C15" s="68" t="s">
        <v>26</v>
      </c>
      <c r="D15" s="69"/>
      <c r="E15" s="70" cm="1">
        <f t="array" ref="E15">INDEX(FX!$A$1:$BA$1000,MIN(ROW(FX_[]))+ROWS(FX_[])-1,MATCH(C15,FX_[#Headers],0))</f>
        <v>1.3669318801089909E-2</v>
      </c>
      <c r="F15" s="76" t="str">
        <f>IF(D15="","",D15*E15)</f>
        <v/>
      </c>
      <c r="G15" s="77" t="str">
        <f>F15</f>
        <v/>
      </c>
      <c r="H15" s="39"/>
      <c r="I15" s="41">
        <f t="shared" si="1"/>
        <v>2.271886471754883</v>
      </c>
      <c r="L15" s="42"/>
      <c r="M15" s="42"/>
      <c r="N15" s="39"/>
      <c r="O15" s="40"/>
      <c r="P15" s="40"/>
    </row>
    <row r="16" spans="1:47" s="14" customFormat="1" x14ac:dyDescent="0.3">
      <c r="A16" s="14" t="str">
        <f t="shared" si="0"/>
        <v>FRA</v>
      </c>
      <c r="B16" s="19" t="s">
        <v>32</v>
      </c>
      <c r="C16" s="68" t="s">
        <v>20</v>
      </c>
      <c r="D16" s="69"/>
      <c r="E16" s="70" cm="1">
        <f t="array" ref="E16">INDEX(FX!$A$1:$BA$1000,MIN(ROW(FX_[]))+ROWS(FX_[])-1,MATCH(C16,FX_[#Headers],0))</f>
        <v>1.154832288828338</v>
      </c>
      <c r="F16" s="76" t="str">
        <f>IF(D16="","",D16*E16)</f>
        <v/>
      </c>
      <c r="G16" s="77" t="str">
        <f>F16</f>
        <v/>
      </c>
      <c r="H16" s="39"/>
      <c r="I16" s="41">
        <f t="shared" si="1"/>
        <v>2.271886471754883</v>
      </c>
      <c r="L16" s="42"/>
      <c r="M16" s="42"/>
      <c r="N16" s="39"/>
      <c r="O16" s="43"/>
      <c r="P16" s="40"/>
    </row>
    <row r="17" spans="1:16" s="14" customFormat="1" x14ac:dyDescent="0.3">
      <c r="A17" s="14" t="str">
        <f t="shared" si="0"/>
        <v>CAN</v>
      </c>
      <c r="B17" s="19" t="s">
        <v>23</v>
      </c>
      <c r="C17" s="68" t="s">
        <v>24</v>
      </c>
      <c r="D17" s="111"/>
      <c r="E17" s="70" cm="1">
        <f t="array" ref="E17">INDEX(FX!$A$1:$BA$1000,MIN(ROW(FX_[]))+ROWS(FX_[])-1,MATCH(C17,FX_[#Headers],0))</f>
        <v>0.74922013623978279</v>
      </c>
      <c r="F17" s="76" t="str">
        <f>IF(D17="","",D17*E17)</f>
        <v/>
      </c>
      <c r="G17" s="77" t="str">
        <f>F17</f>
        <v/>
      </c>
      <c r="H17" s="39"/>
      <c r="I17" s="41">
        <f t="shared" si="1"/>
        <v>2.271886471754883</v>
      </c>
      <c r="K17" s="44"/>
      <c r="L17" s="42"/>
      <c r="M17" s="42"/>
      <c r="N17" s="39"/>
      <c r="O17" s="40"/>
      <c r="P17" s="40"/>
    </row>
    <row r="18" spans="1:16" x14ac:dyDescent="0.3">
      <c r="A18" s="14" t="str">
        <f t="shared" si="0"/>
        <v>SPA</v>
      </c>
      <c r="B18" s="19" t="s">
        <v>28</v>
      </c>
      <c r="C18" s="68" t="s">
        <v>20</v>
      </c>
      <c r="D18" s="72"/>
      <c r="E18" s="70" cm="1">
        <f t="array" ref="E18">INDEX(FX!$A$1:$BA$1000,MIN(ROW(FX_[]))+ROWS(FX_[])-1,MATCH(C18,FX_[#Headers],0))</f>
        <v>1.154832288828338</v>
      </c>
      <c r="F18" s="76" t="str">
        <f>IF(D18="","",D18*E18)</f>
        <v/>
      </c>
      <c r="G18" s="77" t="str">
        <f>F18</f>
        <v/>
      </c>
      <c r="H18" s="39"/>
      <c r="I18" s="41">
        <f t="shared" si="1"/>
        <v>2.271886471754883</v>
      </c>
      <c r="J18" s="14"/>
      <c r="L18" s="42"/>
      <c r="M18" s="42"/>
      <c r="N18" s="39"/>
      <c r="O18" s="31">
        <f ca="1">OFFSET(M3,0,1)</f>
        <v>0</v>
      </c>
      <c r="P18" s="40"/>
    </row>
    <row r="19" spans="1:16" x14ac:dyDescent="0.3">
      <c r="A19" s="14" t="str">
        <f t="shared" si="0"/>
        <v>UK</v>
      </c>
      <c r="B19" s="19" t="s">
        <v>21</v>
      </c>
      <c r="C19" s="68" t="s">
        <v>22</v>
      </c>
      <c r="D19" s="72"/>
      <c r="E19" s="70" cm="1">
        <f t="array" ref="E19">INDEX(FX!$A$1:$BA$1000,MIN(ROW(FX_[]))+ROWS(FX_[])-1,MATCH(C19,FX_[#Headers],0))</f>
        <v>1.291534604904633</v>
      </c>
      <c r="F19" s="76" t="str">
        <f>IF(D19="","",D19*E19)</f>
        <v/>
      </c>
      <c r="G19" s="77" t="str">
        <f>F19</f>
        <v/>
      </c>
      <c r="H19" s="39"/>
      <c r="I19" s="41">
        <f t="shared" si="1"/>
        <v>2.271886471754883</v>
      </c>
      <c r="J19" s="14"/>
      <c r="L19" s="42"/>
      <c r="M19" s="42"/>
      <c r="N19" s="39"/>
      <c r="O19" s="40"/>
      <c r="P19" s="40"/>
    </row>
    <row r="20" spans="1:16" x14ac:dyDescent="0.3">
      <c r="A20" s="14" t="str">
        <f t="shared" si="0"/>
        <v>CHI</v>
      </c>
      <c r="B20" s="19" t="s">
        <v>34</v>
      </c>
      <c r="C20" s="68" t="s">
        <v>35</v>
      </c>
      <c r="D20" s="69"/>
      <c r="E20" s="70" cm="1">
        <f t="array" ref="E20">INDEX(FX!$A$1:$BA$1000,MIN(ROW(FX_[]))+ROWS(FX_[])-1,MATCH(C20,FX_[#Headers],0))</f>
        <v>1.27257493188011E-3</v>
      </c>
      <c r="F20" s="76" t="str">
        <f>IF(D20="","",D20*E20)</f>
        <v/>
      </c>
      <c r="G20" s="77" t="str">
        <f>F20</f>
        <v/>
      </c>
      <c r="H20" s="39"/>
      <c r="I20" s="41">
        <f t="shared" si="1"/>
        <v>2.271886471754883</v>
      </c>
      <c r="J20" s="14"/>
      <c r="L20" s="42"/>
      <c r="M20" s="42"/>
      <c r="N20" s="39"/>
      <c r="O20" s="14"/>
      <c r="P20" s="40"/>
    </row>
    <row r="21" spans="1:16" x14ac:dyDescent="0.3">
      <c r="A21" s="14" t="str">
        <f t="shared" si="0"/>
        <v>PER</v>
      </c>
      <c r="B21" s="19" t="s">
        <v>29</v>
      </c>
      <c r="C21" s="68" t="s">
        <v>30</v>
      </c>
      <c r="D21" s="69"/>
      <c r="E21" s="70" cm="1">
        <f t="array" ref="E21">INDEX(FX!$A$1:$BA$1000,MIN(ROW(FX_[]))+ROWS(FX_[])-1,MATCH(C21,FX_[#Headers],0))</f>
        <v>0.28354728142076469</v>
      </c>
      <c r="F21" s="76" t="str">
        <f>IF(D21="","",D21*E21)</f>
        <v/>
      </c>
      <c r="G21" s="77"/>
      <c r="H21" s="39"/>
      <c r="I21" s="41">
        <f t="shared" si="1"/>
        <v>2.271886471754883</v>
      </c>
      <c r="J21" s="14"/>
      <c r="L21" s="42"/>
      <c r="M21" s="42"/>
      <c r="N21" s="39"/>
      <c r="O21" s="40"/>
      <c r="P21" s="40"/>
    </row>
    <row r="22" spans="1:16" x14ac:dyDescent="0.3">
      <c r="A22" s="14" t="str">
        <f t="shared" si="0"/>
        <v>POR</v>
      </c>
      <c r="B22" s="19" t="s">
        <v>19</v>
      </c>
      <c r="C22" s="68" t="s">
        <v>20</v>
      </c>
      <c r="D22" s="69"/>
      <c r="E22" s="70" cm="1">
        <f t="array" ref="E22">INDEX(FX!$A$1:$BA$1000,MIN(ROW(FX_[]))+ROWS(FX_[])-1,MATCH(C22,FX_[#Headers],0))</f>
        <v>1.154832288828338</v>
      </c>
      <c r="F22" s="76" t="str">
        <f>IF(D22="","",D22*E22)</f>
        <v/>
      </c>
      <c r="G22" s="77" t="str">
        <f>F22</f>
        <v/>
      </c>
      <c r="H22" s="39"/>
      <c r="I22" s="41">
        <f t="shared" si="1"/>
        <v>2.271886471754883</v>
      </c>
      <c r="J22" s="14"/>
      <c r="L22" s="42"/>
      <c r="M22" s="42"/>
      <c r="N22" s="39"/>
      <c r="O22" s="40"/>
      <c r="P22" s="40"/>
    </row>
    <row r="23" spans="1:16" x14ac:dyDescent="0.3">
      <c r="A23" s="14" t="str">
        <f t="shared" si="0"/>
        <v>ECU</v>
      </c>
      <c r="B23" s="19" t="s">
        <v>15</v>
      </c>
      <c r="C23" s="68" t="s">
        <v>16</v>
      </c>
      <c r="D23" s="72"/>
      <c r="E23" s="70">
        <v>1</v>
      </c>
      <c r="F23" s="76" t="str">
        <f>IF(D23="","",D23*E23)</f>
        <v/>
      </c>
      <c r="G23" s="77" t="str">
        <f>F23</f>
        <v/>
      </c>
      <c r="H23" s="39"/>
      <c r="I23" s="41">
        <f t="shared" si="1"/>
        <v>2.271886471754883</v>
      </c>
      <c r="J23" s="14"/>
      <c r="L23" s="42"/>
      <c r="M23" s="42"/>
      <c r="N23" s="39"/>
      <c r="O23" s="40"/>
      <c r="P23" s="40"/>
    </row>
    <row r="24" spans="1:16" x14ac:dyDescent="0.3">
      <c r="A24" s="14" t="str">
        <f t="shared" si="0"/>
        <v>PAN</v>
      </c>
      <c r="B24" s="19" t="s">
        <v>27</v>
      </c>
      <c r="C24" s="68" t="s">
        <v>16</v>
      </c>
      <c r="D24" s="69"/>
      <c r="E24" s="70">
        <v>1</v>
      </c>
      <c r="F24" s="76" t="str">
        <f>IF(D24="","",D24*E24)</f>
        <v/>
      </c>
      <c r="G24" s="77" t="str">
        <f>F24</f>
        <v/>
      </c>
      <c r="H24" s="39"/>
      <c r="I24" s="41">
        <f t="shared" si="1"/>
        <v>2.271886471754883</v>
      </c>
      <c r="J24" s="14"/>
      <c r="L24" s="42"/>
      <c r="M24" s="42"/>
      <c r="N24" s="39"/>
      <c r="O24" s="40"/>
      <c r="P24" s="40"/>
    </row>
    <row r="25" spans="1:16" x14ac:dyDescent="0.3">
      <c r="A25" s="14" t="str">
        <f t="shared" si="0"/>
        <v>MEX</v>
      </c>
      <c r="B25" s="19" t="s">
        <v>36</v>
      </c>
      <c r="C25" s="68" t="s">
        <v>37</v>
      </c>
      <c r="D25" s="69"/>
      <c r="E25" s="70" cm="1">
        <f t="array" ref="E25">INDEX(FX!$A$1:$BA$1000,MIN(ROW(FX_[]))+ROWS(FX_[])-1,MATCH(C25,FX_[#Headers],0))</f>
        <v>4.6447629427792902E-2</v>
      </c>
      <c r="F25" s="76" t="str">
        <f>IF(D25="","",D25*E25)</f>
        <v/>
      </c>
      <c r="G25" s="77" t="str">
        <f>F25</f>
        <v/>
      </c>
      <c r="H25" s="39"/>
      <c r="I25" s="41">
        <f t="shared" si="1"/>
        <v>2.271886471754883</v>
      </c>
      <c r="J25" s="30"/>
      <c r="K25" s="14"/>
      <c r="L25" s="42"/>
      <c r="M25" s="42"/>
      <c r="N25" s="39"/>
      <c r="O25" s="31"/>
      <c r="P25" s="40"/>
    </row>
    <row r="26" spans="1:16" x14ac:dyDescent="0.3">
      <c r="A26" s="14" t="str">
        <f t="shared" si="0"/>
        <v>GER</v>
      </c>
      <c r="B26" s="19" t="s">
        <v>33</v>
      </c>
      <c r="C26" s="68" t="s">
        <v>20</v>
      </c>
      <c r="D26" s="69"/>
      <c r="E26" s="70" cm="1">
        <f t="array" ref="E26">INDEX(FX!$A$1:$BA$1000,MIN(ROW(FX_[]))+ROWS(FX_[])-1,MATCH(C26,FX_[#Headers],0))</f>
        <v>1.154832288828338</v>
      </c>
      <c r="F26" s="76" t="str">
        <f>IF(D26="","",D26*E26)</f>
        <v/>
      </c>
      <c r="G26" s="77" t="str">
        <f>F26</f>
        <v/>
      </c>
      <c r="H26" s="39"/>
      <c r="I26" s="41">
        <f t="shared" si="1"/>
        <v>2.271886471754883</v>
      </c>
      <c r="J26" s="30"/>
      <c r="K26" s="14"/>
      <c r="L26" s="42"/>
      <c r="M26" s="42"/>
      <c r="N26" s="39"/>
      <c r="O26" s="40"/>
      <c r="P26" s="40"/>
    </row>
    <row r="27" spans="1:16" ht="15" customHeight="1" thickBot="1" x14ac:dyDescent="0.35">
      <c r="A27" s="14" t="str">
        <f t="shared" si="0"/>
        <v>URU</v>
      </c>
      <c r="B27" s="20" t="s">
        <v>38</v>
      </c>
      <c r="C27" s="11" t="s">
        <v>39</v>
      </c>
      <c r="D27" s="28"/>
      <c r="E27" s="71" cm="1">
        <f t="array" ref="E27">INDEX(FX!$A$1:$BA$1000,MIN(ROW(FX_[]))+ROWS(FX_[])-1,MATCH(C27,FX_[#Headers],0))</f>
        <v>2.345934604904628E-2</v>
      </c>
      <c r="F27" s="79" t="str">
        <f>IF(D27="","",D27*E27)</f>
        <v/>
      </c>
      <c r="G27" s="78" t="str">
        <f>F27</f>
        <v/>
      </c>
      <c r="H27" s="39"/>
      <c r="I27" s="41">
        <f t="shared" si="1"/>
        <v>2.271886471754883</v>
      </c>
      <c r="K27" s="14"/>
      <c r="L27" s="42"/>
      <c r="M27" s="42"/>
    </row>
    <row r="28" spans="1:16" ht="7.8" customHeight="1" x14ac:dyDescent="0.3">
      <c r="A28" s="14"/>
      <c r="D28" s="15"/>
      <c r="E28" s="45"/>
      <c r="F28" s="39"/>
      <c r="G28" s="39"/>
      <c r="H28" s="46"/>
      <c r="I28" s="18"/>
      <c r="K28" s="14"/>
      <c r="L28" s="14"/>
    </row>
    <row r="29" spans="1:16" ht="15" customHeight="1" thickBot="1" x14ac:dyDescent="0.35">
      <c r="D29" s="15"/>
      <c r="E29" s="44"/>
      <c r="F29" s="73" t="s">
        <v>4</v>
      </c>
      <c r="G29" s="73" t="s">
        <v>40</v>
      </c>
      <c r="K29" s="14"/>
      <c r="L29" s="14"/>
    </row>
    <row r="30" spans="1:16" ht="15.6" customHeight="1" x14ac:dyDescent="0.3">
      <c r="B30" s="34" t="s">
        <v>41</v>
      </c>
      <c r="C30" s="64" cm="1">
        <f t="array" ref="C30">LOOKUP(2,1/(TRM!B:B&lt;&gt;""),TRM!B:B)</f>
        <v>3713.4486376021769</v>
      </c>
      <c r="D30" s="15"/>
      <c r="E30" s="47" t="s">
        <v>42</v>
      </c>
      <c r="F30" s="86">
        <f>percentilSinOutliers(F11:F27,0.25,F6,F7)</f>
        <v>2.271886471754883</v>
      </c>
      <c r="G30" s="87">
        <f>percentilSinOutliers(G11:G27,0.25,G6,G7)</f>
        <v>2.271886471754883</v>
      </c>
      <c r="K30" s="26"/>
      <c r="L30" s="14"/>
    </row>
    <row r="31" spans="1:16" ht="20.399999999999999" customHeight="1" thickBot="1" x14ac:dyDescent="0.35">
      <c r="B31" s="33" t="s">
        <v>50</v>
      </c>
      <c r="C31" s="96">
        <v>1800</v>
      </c>
      <c r="D31" s="15"/>
      <c r="E31" s="48" t="s">
        <v>43</v>
      </c>
      <c r="F31" s="74">
        <f>F30*C30</f>
        <v>8436.5337233249866</v>
      </c>
      <c r="G31" s="75">
        <f>G30*C30</f>
        <v>8436.5337233249866</v>
      </c>
      <c r="H31" s="29">
        <f>(G30-F30)/F30</f>
        <v>0</v>
      </c>
      <c r="I31" s="101"/>
      <c r="J31" s="66"/>
      <c r="K31" s="65"/>
      <c r="L31" s="67"/>
      <c r="M31" s="50"/>
      <c r="N31" s="27"/>
    </row>
    <row r="32" spans="1:16" ht="7.8" customHeight="1" x14ac:dyDescent="0.3">
      <c r="D32" s="15"/>
      <c r="E32" s="39"/>
      <c r="F32" s="39"/>
      <c r="K32" s="14"/>
      <c r="L32" s="49"/>
      <c r="M32" s="51"/>
      <c r="N32" s="27"/>
    </row>
    <row r="33" spans="1:17" x14ac:dyDescent="0.3">
      <c r="D33" s="15"/>
      <c r="E33" s="52" t="s">
        <v>44</v>
      </c>
      <c r="F33" s="53">
        <f>F31*$C$31</f>
        <v>15185760.701984975</v>
      </c>
      <c r="G33" s="53">
        <f>G31*$C$31</f>
        <v>15185760.701984975</v>
      </c>
      <c r="J33" s="24"/>
      <c r="K33" s="14"/>
      <c r="L33" s="14"/>
    </row>
    <row r="34" spans="1:17" x14ac:dyDescent="0.3">
      <c r="D34" s="15"/>
      <c r="E34" s="44"/>
      <c r="F34" s="39"/>
      <c r="G34" s="39"/>
      <c r="K34" s="14"/>
      <c r="L34" s="14"/>
    </row>
    <row r="36" spans="1:17" x14ac:dyDescent="0.3">
      <c r="A36" s="1"/>
      <c r="B36" s="1"/>
      <c r="C36" s="2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51"/>
    </row>
    <row r="38" spans="1:17" ht="23.4" customHeight="1" x14ac:dyDescent="0.45">
      <c r="B38" s="3" t="s">
        <v>45</v>
      </c>
    </row>
    <row r="40" spans="1:17" x14ac:dyDescent="0.3">
      <c r="A40" s="4" t="s">
        <v>25</v>
      </c>
      <c r="B40" s="32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</row>
    <row r="42" spans="1:17" x14ac:dyDescent="0.3">
      <c r="A42" s="36" t="s">
        <v>141</v>
      </c>
      <c r="L42" s="35"/>
      <c r="M42" s="35"/>
      <c r="N42" s="35"/>
      <c r="O42" s="35"/>
      <c r="P42" s="35"/>
    </row>
    <row r="43" spans="1:17" x14ac:dyDescent="0.3">
      <c r="J43" s="14"/>
      <c r="K43" s="54"/>
      <c r="L43" s="25"/>
      <c r="M43" s="54"/>
      <c r="P43" s="55"/>
      <c r="Q43" s="40"/>
    </row>
    <row r="44" spans="1:17" x14ac:dyDescent="0.3">
      <c r="J44" s="14"/>
      <c r="K44" s="54"/>
      <c r="L44" s="54"/>
      <c r="M44" s="56"/>
      <c r="P44" s="55"/>
    </row>
    <row r="45" spans="1:17" x14ac:dyDescent="0.3">
      <c r="J45" s="14"/>
      <c r="K45" s="56"/>
      <c r="L45" s="54"/>
      <c r="M45" s="56"/>
      <c r="P45" s="55"/>
    </row>
    <row r="46" spans="1:17" x14ac:dyDescent="0.3">
      <c r="A46" s="4" t="s">
        <v>13</v>
      </c>
      <c r="B46" s="8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</row>
    <row r="48" spans="1:17" s="88" customFormat="1" x14ac:dyDescent="0.3">
      <c r="A48" s="99" t="s">
        <v>142</v>
      </c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</row>
    <row r="49" spans="1:15" s="88" customFormat="1" x14ac:dyDescent="0.3">
      <c r="L49" s="89"/>
    </row>
    <row r="51" spans="1:15" x14ac:dyDescent="0.3">
      <c r="M51" s="14"/>
      <c r="N51" s="14"/>
      <c r="O51" s="14"/>
    </row>
    <row r="52" spans="1:15" x14ac:dyDescent="0.3">
      <c r="A52" s="4" t="s">
        <v>11</v>
      </c>
      <c r="B52" s="8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</row>
    <row r="54" spans="1:15" x14ac:dyDescent="0.3">
      <c r="A54" s="36" t="s">
        <v>141</v>
      </c>
    </row>
    <row r="57" spans="1:15" x14ac:dyDescent="0.3">
      <c r="L57" t="s">
        <v>46</v>
      </c>
      <c r="N57" s="14"/>
    </row>
    <row r="59" spans="1:15" x14ac:dyDescent="0.3">
      <c r="A59" s="4" t="s">
        <v>23</v>
      </c>
      <c r="B59" s="8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</row>
    <row r="62" spans="1:15" x14ac:dyDescent="0.3">
      <c r="A62" s="36" t="s">
        <v>141</v>
      </c>
    </row>
    <row r="65" spans="1:16" x14ac:dyDescent="0.3">
      <c r="A65" s="4" t="s">
        <v>31</v>
      </c>
      <c r="B65" s="8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</row>
    <row r="67" spans="1:16" s="88" customFormat="1" x14ac:dyDescent="0.3">
      <c r="A67" s="85" t="s">
        <v>143</v>
      </c>
      <c r="B67" s="85"/>
      <c r="C67" s="85"/>
      <c r="D67" s="85"/>
      <c r="E67" s="85"/>
      <c r="F67" s="85"/>
      <c r="G67" s="85"/>
      <c r="H67" s="85"/>
      <c r="I67" s="85"/>
      <c r="J67" s="85"/>
      <c r="K67" s="85"/>
      <c r="L67" s="90"/>
      <c r="M67" s="90"/>
      <c r="N67" s="90"/>
      <c r="O67" s="90"/>
      <c r="P67" s="90"/>
    </row>
    <row r="68" spans="1:16" s="88" customFormat="1" x14ac:dyDescent="0.3">
      <c r="L68" s="91"/>
      <c r="M68" s="91"/>
      <c r="N68" s="91"/>
      <c r="O68" s="91"/>
      <c r="P68" s="91"/>
    </row>
    <row r="69" spans="1:16" s="88" customFormat="1" x14ac:dyDescent="0.3">
      <c r="L69" s="91"/>
      <c r="M69" s="91"/>
      <c r="N69" s="91"/>
      <c r="O69" s="91"/>
      <c r="P69" s="91"/>
    </row>
    <row r="70" spans="1:16" x14ac:dyDescent="0.3">
      <c r="L70" s="14"/>
      <c r="M70" s="14"/>
      <c r="N70" s="14"/>
      <c r="O70" s="14"/>
      <c r="P70" s="14"/>
    </row>
    <row r="71" spans="1:16" x14ac:dyDescent="0.3">
      <c r="A71" s="4" t="s">
        <v>28</v>
      </c>
      <c r="B71" s="8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</row>
    <row r="73" spans="1:16" s="88" customFormat="1" x14ac:dyDescent="0.3">
      <c r="A73" s="85" t="s">
        <v>141</v>
      </c>
      <c r="B73" s="85"/>
      <c r="C73" s="85"/>
      <c r="D73" s="85"/>
      <c r="E73" s="85"/>
      <c r="F73" s="85"/>
      <c r="G73" s="85"/>
      <c r="H73" s="85"/>
      <c r="I73" s="85"/>
      <c r="J73" s="85"/>
    </row>
    <row r="74" spans="1:16" s="88" customFormat="1" x14ac:dyDescent="0.3"/>
    <row r="77" spans="1:16" x14ac:dyDescent="0.3">
      <c r="A77" s="4" t="s">
        <v>32</v>
      </c>
      <c r="B77" s="6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</row>
    <row r="79" spans="1:16" x14ac:dyDescent="0.3">
      <c r="A79" s="36" t="s">
        <v>141</v>
      </c>
    </row>
    <row r="80" spans="1:16" x14ac:dyDescent="0.3">
      <c r="A80"/>
    </row>
    <row r="83" spans="1:15" x14ac:dyDescent="0.3">
      <c r="A83" s="4" t="s">
        <v>19</v>
      </c>
      <c r="B83" s="7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</row>
    <row r="85" spans="1:15" x14ac:dyDescent="0.3">
      <c r="A85" s="36" t="s">
        <v>141</v>
      </c>
    </row>
    <row r="86" spans="1:15" x14ac:dyDescent="0.3">
      <c r="B86" s="14"/>
      <c r="D86" s="14"/>
    </row>
    <row r="87" spans="1:15" x14ac:dyDescent="0.3">
      <c r="A87"/>
      <c r="B87" s="14"/>
      <c r="C87"/>
      <c r="D87"/>
    </row>
    <row r="88" spans="1:15" x14ac:dyDescent="0.3">
      <c r="A88"/>
      <c r="B88" s="14"/>
      <c r="C88"/>
      <c r="D88"/>
    </row>
    <row r="89" spans="1:15" x14ac:dyDescent="0.3">
      <c r="A89" s="4" t="s">
        <v>17</v>
      </c>
      <c r="B89" s="8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</row>
    <row r="91" spans="1:15" x14ac:dyDescent="0.3">
      <c r="A91" s="100" t="s">
        <v>143</v>
      </c>
      <c r="B91" s="85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5"/>
      <c r="N91" s="85"/>
      <c r="O91" s="85"/>
    </row>
    <row r="92" spans="1:15" x14ac:dyDescent="0.3">
      <c r="A92" s="88"/>
      <c r="B92" s="88"/>
      <c r="C92" s="88"/>
      <c r="D92" s="88"/>
      <c r="E92" s="88"/>
      <c r="F92" s="88"/>
      <c r="G92" s="88"/>
      <c r="H92" s="88"/>
      <c r="I92" s="88"/>
      <c r="J92" s="88"/>
      <c r="K92" s="88"/>
      <c r="L92" s="88"/>
      <c r="M92" s="88"/>
      <c r="N92" s="88"/>
      <c r="O92" s="88"/>
    </row>
    <row r="95" spans="1:15" x14ac:dyDescent="0.3">
      <c r="A95" s="4" t="s">
        <v>33</v>
      </c>
      <c r="B95" s="6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</row>
    <row r="97" spans="1:15" x14ac:dyDescent="0.3">
      <c r="A97" t="s">
        <v>144</v>
      </c>
    </row>
    <row r="99" spans="1:15" s="62" customFormat="1" x14ac:dyDescent="0.3">
      <c r="C99" s="14"/>
    </row>
    <row r="101" spans="1:15" x14ac:dyDescent="0.3">
      <c r="A101" s="4" t="s">
        <v>34</v>
      </c>
      <c r="B101" s="6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</row>
    <row r="103" spans="1:15" x14ac:dyDescent="0.3">
      <c r="A103" t="s">
        <v>144</v>
      </c>
    </row>
    <row r="105" spans="1:15" s="62" customFormat="1" x14ac:dyDescent="0.3">
      <c r="C105" s="14"/>
    </row>
    <row r="107" spans="1:15" x14ac:dyDescent="0.3">
      <c r="A107" s="4" t="s">
        <v>15</v>
      </c>
      <c r="B107" s="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</row>
    <row r="110" spans="1:15" x14ac:dyDescent="0.3">
      <c r="A110" s="36" t="s">
        <v>144</v>
      </c>
    </row>
    <row r="112" spans="1:15" x14ac:dyDescent="0.3">
      <c r="H112" s="10"/>
    </row>
    <row r="113" spans="1:15" x14ac:dyDescent="0.3">
      <c r="A113" s="4" t="s">
        <v>36</v>
      </c>
      <c r="B113" s="57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</row>
    <row r="115" spans="1:15" x14ac:dyDescent="0.3">
      <c r="A115" s="36" t="s">
        <v>144</v>
      </c>
    </row>
    <row r="117" spans="1:15" x14ac:dyDescent="0.3">
      <c r="B117"/>
    </row>
    <row r="119" spans="1:15" x14ac:dyDescent="0.3">
      <c r="A119" s="4" t="s">
        <v>27</v>
      </c>
      <c r="B119" s="8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</row>
    <row r="121" spans="1:15" x14ac:dyDescent="0.3">
      <c r="A121" s="36" t="s">
        <v>144</v>
      </c>
    </row>
    <row r="125" spans="1:15" x14ac:dyDescent="0.3">
      <c r="A125" s="4" t="s">
        <v>29</v>
      </c>
      <c r="B125" s="8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</row>
    <row r="127" spans="1:15" x14ac:dyDescent="0.3">
      <c r="A127" s="36" t="s">
        <v>144</v>
      </c>
    </row>
    <row r="129" spans="1:15" x14ac:dyDescent="0.3">
      <c r="A129" s="14"/>
      <c r="B129" s="14"/>
    </row>
    <row r="130" spans="1:15" x14ac:dyDescent="0.3">
      <c r="A130" s="51"/>
      <c r="B130"/>
      <c r="C130" s="50"/>
    </row>
    <row r="131" spans="1:15" x14ac:dyDescent="0.3">
      <c r="A131" s="4" t="s">
        <v>21</v>
      </c>
      <c r="B131" s="8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</row>
    <row r="134" spans="1:15" x14ac:dyDescent="0.3">
      <c r="A134" t="s">
        <v>143</v>
      </c>
      <c r="B134"/>
    </row>
    <row r="135" spans="1:15" x14ac:dyDescent="0.3">
      <c r="A135"/>
      <c r="B135"/>
    </row>
    <row r="136" spans="1:15" x14ac:dyDescent="0.3">
      <c r="A136"/>
      <c r="B136"/>
    </row>
    <row r="137" spans="1:15" x14ac:dyDescent="0.3">
      <c r="A137" s="4" t="s">
        <v>38</v>
      </c>
      <c r="B137" s="6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</row>
    <row r="139" spans="1:15" x14ac:dyDescent="0.3">
      <c r="A139" t="s">
        <v>144</v>
      </c>
    </row>
    <row r="1048229" spans="7:7" x14ac:dyDescent="0.3">
      <c r="G1048229" s="58"/>
    </row>
  </sheetData>
  <autoFilter ref="B10:G27" xr:uid="{00000000-0009-0000-0000-000000000000}">
    <sortState xmlns:xlrd2="http://schemas.microsoft.com/office/spreadsheetml/2017/richdata2" ref="B11:G27">
      <sortCondition ref="F10:F27"/>
    </sortState>
  </autoFilter>
  <mergeCells count="3">
    <mergeCell ref="D6:E6"/>
    <mergeCell ref="D7:E7"/>
    <mergeCell ref="A5:B5"/>
  </mergeCells>
  <conditionalFormatting sqref="F11:F27">
    <cfRule type="cellIs" dxfId="18" priority="2" operator="between">
      <formula>$F$6</formula>
      <formula>$F$7</formula>
    </cfRule>
    <cfRule type="cellIs" dxfId="17" priority="4" operator="between">
      <formula>$F$6</formula>
      <formula>$F$7</formula>
    </cfRule>
    <cfRule type="cellIs" dxfId="16" priority="6" operator="between">
      <formula>$F$6</formula>
      <formula>$F$7</formula>
    </cfRule>
  </conditionalFormatting>
  <conditionalFormatting sqref="G11:G27">
    <cfRule type="cellIs" dxfId="15" priority="1" operator="between">
      <formula>$G$6</formula>
      <formula>$G$7</formula>
    </cfRule>
    <cfRule type="cellIs" dxfId="14" priority="3" operator="between">
      <formula>$G$6</formula>
      <formula>$G$7</formula>
    </cfRule>
    <cfRule type="cellIs" dxfId="13" priority="5" operator="between">
      <formula>$G$6</formula>
      <formula>$G$7</formula>
    </cfRule>
  </conditionalFormatting>
  <pageMargins left="0.7" right="0.7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9" r:id="rId3" name="ComboBox1">
          <controlPr defaultSize="0" autoLine="0" listFillRange="'Resultados'!A3:A13940" r:id="rId4">
            <anchor moveWithCells="1">
              <from>
                <xdr:col>8</xdr:col>
                <xdr:colOff>175260</xdr:colOff>
                <xdr:row>0</xdr:row>
                <xdr:rowOff>160020</xdr:rowOff>
              </from>
              <to>
                <xdr:col>11</xdr:col>
                <xdr:colOff>1211580</xdr:colOff>
                <xdr:row>2</xdr:row>
                <xdr:rowOff>175260</xdr:rowOff>
              </to>
            </anchor>
          </controlPr>
        </control>
      </mc:Choice>
      <mc:Fallback>
        <control shapeId="1029" r:id="rId3" name="ComboBox1"/>
      </mc:Fallback>
    </mc:AlternateContent>
    <mc:AlternateContent xmlns:mc="http://schemas.openxmlformats.org/markup-compatibility/2006">
      <mc:Choice Requires="x14">
        <control shapeId="1030" r:id="rId5" name="ComboBox2">
          <controlPr defaultSize="0" autoLine="0" r:id="rId6">
            <anchor moveWithCells="1">
              <from>
                <xdr:col>13</xdr:col>
                <xdr:colOff>304800</xdr:colOff>
                <xdr:row>0</xdr:row>
                <xdr:rowOff>175260</xdr:rowOff>
              </from>
              <to>
                <xdr:col>16</xdr:col>
                <xdr:colOff>723900</xdr:colOff>
                <xdr:row>2</xdr:row>
                <xdr:rowOff>175260</xdr:rowOff>
              </to>
            </anchor>
          </controlPr>
        </control>
      </mc:Choice>
      <mc:Fallback>
        <control shapeId="1030" r:id="rId5" name="ComboBox2"/>
      </mc:Fallback>
    </mc:AlternateContent>
    <mc:AlternateContent xmlns:mc="http://schemas.openxmlformats.org/markup-compatibility/2006">
      <mc:Choice Requires="x14">
        <control shapeId="1031" r:id="rId7" name="CommandButton1">
          <controlPr defaultSize="0" autoLine="0" r:id="rId8">
            <anchor moveWithCells="1">
              <from>
                <xdr:col>16</xdr:col>
                <xdr:colOff>883920</xdr:colOff>
                <xdr:row>1</xdr:row>
                <xdr:rowOff>45720</xdr:rowOff>
              </from>
              <to>
                <xdr:col>19</xdr:col>
                <xdr:colOff>518160</xdr:colOff>
                <xdr:row>2</xdr:row>
                <xdr:rowOff>106680</xdr:rowOff>
              </to>
            </anchor>
          </controlPr>
        </control>
      </mc:Choice>
      <mc:Fallback>
        <control shapeId="103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C6660487-F9F5-45B8-9C44-70CE6E63585C}">
          <x14:formula1>
            <xm:f>OFFSET(INDIRECT(_xlfn.CONCAT("Concentraciones!",ADDRESS(MATCH(M2,Concentraciones!A:A,0),1))),0,1,COUNTIF(Concentraciones!$A$2:$A$1048576,$M$2),1)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4E5F2-51A8-4851-B5D2-2950C75FFD32}">
  <sheetPr codeName="Sheet2"/>
  <dimension ref="A1:U3"/>
  <sheetViews>
    <sheetView topLeftCell="G1" workbookViewId="0">
      <selection activeCell="M2" sqref="M2"/>
    </sheetView>
  </sheetViews>
  <sheetFormatPr defaultRowHeight="14.4" x14ac:dyDescent="0.3"/>
  <cols>
    <col min="1" max="1" width="18.109375" bestFit="1" customWidth="1"/>
    <col min="2" max="2" width="14.77734375" bestFit="1" customWidth="1"/>
    <col min="3" max="3" width="16.6640625" bestFit="1" customWidth="1"/>
    <col min="4" max="4" width="14" bestFit="1" customWidth="1"/>
    <col min="5" max="5" width="18.33203125" bestFit="1" customWidth="1"/>
    <col min="6" max="6" width="17.21875" bestFit="1" customWidth="1"/>
    <col min="7" max="7" width="13.88671875" bestFit="1" customWidth="1"/>
    <col min="8" max="8" width="77.5546875" bestFit="1" customWidth="1"/>
    <col min="9" max="9" width="33.109375" bestFit="1" customWidth="1"/>
    <col min="10" max="10" width="14" bestFit="1" customWidth="1"/>
    <col min="11" max="11" width="13.6640625" bestFit="1" customWidth="1"/>
    <col min="12" max="12" width="13.21875" bestFit="1" customWidth="1"/>
    <col min="13" max="13" width="16.33203125" bestFit="1" customWidth="1"/>
    <col min="14" max="14" width="17.33203125" bestFit="1" customWidth="1"/>
    <col min="15" max="15" width="18.109375" bestFit="1" customWidth="1"/>
    <col min="16" max="16" width="14.77734375" style="62" bestFit="1" customWidth="1"/>
    <col min="17" max="17" width="20" style="62" bestFit="1" customWidth="1"/>
    <col min="18" max="18" width="23.21875" style="62" bestFit="1" customWidth="1"/>
    <col min="19" max="19" width="15.44140625" style="62" bestFit="1" customWidth="1"/>
    <col min="20" max="20" width="27.21875" style="62" customWidth="1"/>
    <col min="21" max="21" width="13.6640625" style="62" bestFit="1" customWidth="1"/>
  </cols>
  <sheetData>
    <row r="1" spans="1:21" x14ac:dyDescent="0.3">
      <c r="A1" s="25" t="s">
        <v>51</v>
      </c>
      <c r="B1" s="25" t="s">
        <v>52</v>
      </c>
      <c r="C1" s="25" t="s">
        <v>53</v>
      </c>
      <c r="D1" s="25" t="s">
        <v>54</v>
      </c>
      <c r="E1" s="25" t="s">
        <v>55</v>
      </c>
      <c r="F1" s="25" t="s">
        <v>56</v>
      </c>
      <c r="G1" s="25" t="s">
        <v>132</v>
      </c>
      <c r="H1" s="92" t="s">
        <v>57</v>
      </c>
      <c r="I1" s="25" t="s">
        <v>68</v>
      </c>
      <c r="J1" s="25" t="s">
        <v>58</v>
      </c>
      <c r="K1" s="25" t="s">
        <v>59</v>
      </c>
      <c r="L1" s="25" t="s">
        <v>70</v>
      </c>
      <c r="M1" s="25" t="s">
        <v>60</v>
      </c>
      <c r="N1" s="25" t="s">
        <v>61</v>
      </c>
      <c r="O1" s="25" t="s">
        <v>62</v>
      </c>
      <c r="P1" s="25" t="s">
        <v>63</v>
      </c>
      <c r="Q1" s="25" t="s">
        <v>64</v>
      </c>
      <c r="R1" s="25" t="s">
        <v>65</v>
      </c>
      <c r="S1" s="25" t="s">
        <v>66</v>
      </c>
      <c r="T1" s="25" t="s">
        <v>67</v>
      </c>
      <c r="U1" t="s">
        <v>139</v>
      </c>
    </row>
    <row r="2" spans="1:21" x14ac:dyDescent="0.3">
      <c r="A2" s="84" t="s">
        <v>118</v>
      </c>
      <c r="B2" s="62">
        <v>11.281901140684409</v>
      </c>
      <c r="C2" s="62">
        <v>25.57500952380952</v>
      </c>
      <c r="D2" s="62">
        <v>1.891542857142857</v>
      </c>
      <c r="E2" s="62">
        <v>3.885961904761905</v>
      </c>
      <c r="F2" s="62">
        <v>6.2126000000000001</v>
      </c>
      <c r="G2" s="62">
        <v>7.7998000000000003</v>
      </c>
      <c r="H2" s="62">
        <v>3.6450999999999998</v>
      </c>
      <c r="I2" s="62"/>
      <c r="J2" s="62"/>
      <c r="K2" s="62"/>
      <c r="L2" s="62"/>
      <c r="M2" s="62">
        <v>3.475542857142857</v>
      </c>
      <c r="N2" s="62">
        <v>201.20131428571429</v>
      </c>
      <c r="O2" s="62"/>
      <c r="P2" s="62">
        <v>2.4062000000000001</v>
      </c>
      <c r="Q2" s="62">
        <v>2.430971428571429</v>
      </c>
      <c r="T2" s="62">
        <v>5.666666666666667</v>
      </c>
    </row>
    <row r="3" spans="1:21" x14ac:dyDescent="0.3">
      <c r="A3" s="84" t="s">
        <v>119</v>
      </c>
      <c r="B3" s="62">
        <v>0.1411111111111111</v>
      </c>
      <c r="C3" s="62"/>
      <c r="D3" s="62">
        <v>0.62976190476190474</v>
      </c>
      <c r="E3" s="62">
        <v>0.35749999999999998</v>
      </c>
      <c r="F3" s="62">
        <v>2.3988095238095242</v>
      </c>
      <c r="G3" s="62">
        <v>2.793333333333333</v>
      </c>
      <c r="H3" s="62"/>
      <c r="I3" s="62"/>
      <c r="J3" s="62"/>
      <c r="K3" s="62"/>
      <c r="L3" s="62"/>
      <c r="M3" s="62"/>
      <c r="N3" s="62">
        <v>53.080595238095242</v>
      </c>
      <c r="O3" s="62"/>
      <c r="Q3" s="62">
        <v>0.17789682539682539</v>
      </c>
    </row>
  </sheetData>
  <phoneticPr fontId="16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369"/>
  <sheetViews>
    <sheetView topLeftCell="A361" workbookViewId="0">
      <selection activeCell="A368" sqref="A368"/>
    </sheetView>
  </sheetViews>
  <sheetFormatPr defaultRowHeight="14.4" x14ac:dyDescent="0.3"/>
  <cols>
    <col min="1" max="1" width="21.44140625" bestFit="1" customWidth="1"/>
    <col min="2" max="2" width="46.21875" bestFit="1" customWidth="1"/>
  </cols>
  <sheetData>
    <row r="1" spans="1:2" x14ac:dyDescent="0.3">
      <c r="A1" t="s">
        <v>47</v>
      </c>
      <c r="B1" t="s">
        <v>48</v>
      </c>
    </row>
    <row r="2" spans="1:2" x14ac:dyDescent="0.3">
      <c r="A2" s="60">
        <v>43876</v>
      </c>
      <c r="B2">
        <v>3378.29</v>
      </c>
    </row>
    <row r="3" spans="1:2" x14ac:dyDescent="0.3">
      <c r="A3" s="60">
        <v>43877</v>
      </c>
      <c r="B3">
        <v>3378.29</v>
      </c>
    </row>
    <row r="4" spans="1:2" x14ac:dyDescent="0.3">
      <c r="A4" s="60">
        <v>43878</v>
      </c>
      <c r="B4">
        <v>3378.29</v>
      </c>
    </row>
    <row r="5" spans="1:2" x14ac:dyDescent="0.3">
      <c r="A5" s="60">
        <v>43879</v>
      </c>
      <c r="B5">
        <v>3378.29</v>
      </c>
    </row>
    <row r="6" spans="1:2" x14ac:dyDescent="0.3">
      <c r="A6" s="60">
        <v>43880</v>
      </c>
      <c r="B6">
        <v>3410.24</v>
      </c>
    </row>
    <row r="7" spans="1:2" x14ac:dyDescent="0.3">
      <c r="A7" s="60">
        <v>43881</v>
      </c>
      <c r="B7">
        <v>3400.98</v>
      </c>
    </row>
    <row r="8" spans="1:2" x14ac:dyDescent="0.3">
      <c r="A8" s="60">
        <v>43882</v>
      </c>
      <c r="B8">
        <v>3403.5</v>
      </c>
    </row>
    <row r="9" spans="1:2" x14ac:dyDescent="0.3">
      <c r="A9" s="60">
        <v>43883</v>
      </c>
      <c r="B9">
        <v>3398.05</v>
      </c>
    </row>
    <row r="10" spans="1:2" x14ac:dyDescent="0.3">
      <c r="A10" s="60">
        <v>43884</v>
      </c>
      <c r="B10">
        <v>3398.05</v>
      </c>
    </row>
    <row r="11" spans="1:2" x14ac:dyDescent="0.3">
      <c r="A11" s="60">
        <v>43885</v>
      </c>
      <c r="B11">
        <v>3398.05</v>
      </c>
    </row>
    <row r="12" spans="1:2" x14ac:dyDescent="0.3">
      <c r="A12" s="60">
        <v>43886</v>
      </c>
      <c r="B12">
        <v>3431.6</v>
      </c>
    </row>
    <row r="13" spans="1:2" x14ac:dyDescent="0.3">
      <c r="A13" s="60">
        <v>43887</v>
      </c>
      <c r="B13">
        <v>3425.22</v>
      </c>
    </row>
    <row r="14" spans="1:2" x14ac:dyDescent="0.3">
      <c r="A14" s="60">
        <v>43888</v>
      </c>
      <c r="B14">
        <v>3441.88</v>
      </c>
    </row>
    <row r="15" spans="1:2" x14ac:dyDescent="0.3">
      <c r="A15" s="60">
        <v>43889</v>
      </c>
      <c r="B15">
        <v>3507.11</v>
      </c>
    </row>
    <row r="16" spans="1:2" x14ac:dyDescent="0.3">
      <c r="A16" s="60">
        <v>43890</v>
      </c>
      <c r="B16">
        <v>3539.86</v>
      </c>
    </row>
    <row r="17" spans="1:2" x14ac:dyDescent="0.3">
      <c r="A17" s="60">
        <v>43891</v>
      </c>
      <c r="B17">
        <v>3539.86</v>
      </c>
    </row>
    <row r="18" spans="1:2" x14ac:dyDescent="0.3">
      <c r="A18" s="60">
        <v>43892</v>
      </c>
      <c r="B18">
        <v>3539.86</v>
      </c>
    </row>
    <row r="19" spans="1:2" x14ac:dyDescent="0.3">
      <c r="A19" s="60">
        <v>43893</v>
      </c>
      <c r="B19">
        <v>3512.17</v>
      </c>
    </row>
    <row r="20" spans="1:2" x14ac:dyDescent="0.3">
      <c r="A20" s="60">
        <v>43894</v>
      </c>
      <c r="B20">
        <v>3455.56</v>
      </c>
    </row>
    <row r="21" spans="1:2" x14ac:dyDescent="0.3">
      <c r="A21" s="60">
        <v>43895</v>
      </c>
      <c r="B21">
        <v>3458.45</v>
      </c>
    </row>
    <row r="22" spans="1:2" x14ac:dyDescent="0.3">
      <c r="A22" s="60">
        <v>43896</v>
      </c>
      <c r="B22">
        <v>3522.41</v>
      </c>
    </row>
    <row r="23" spans="1:2" x14ac:dyDescent="0.3">
      <c r="A23" s="60">
        <v>43897</v>
      </c>
      <c r="B23">
        <v>3584.58</v>
      </c>
    </row>
    <row r="24" spans="1:2" x14ac:dyDescent="0.3">
      <c r="A24" s="60">
        <v>43898</v>
      </c>
      <c r="B24">
        <v>3584.58</v>
      </c>
    </row>
    <row r="25" spans="1:2" x14ac:dyDescent="0.3">
      <c r="A25" s="60">
        <v>43899</v>
      </c>
      <c r="B25">
        <v>3584.58</v>
      </c>
    </row>
    <row r="26" spans="1:2" x14ac:dyDescent="0.3">
      <c r="A26" s="60">
        <v>43900</v>
      </c>
      <c r="B26">
        <v>3803.6</v>
      </c>
    </row>
    <row r="27" spans="1:2" x14ac:dyDescent="0.3">
      <c r="A27" s="60">
        <v>43901</v>
      </c>
      <c r="B27">
        <v>3780.39</v>
      </c>
    </row>
    <row r="28" spans="1:2" x14ac:dyDescent="0.3">
      <c r="A28" s="60">
        <v>43902</v>
      </c>
      <c r="B28">
        <v>3835.15</v>
      </c>
    </row>
    <row r="29" spans="1:2" x14ac:dyDescent="0.3">
      <c r="A29" s="60">
        <v>43903</v>
      </c>
      <c r="B29">
        <v>4034.66</v>
      </c>
    </row>
    <row r="30" spans="1:2" x14ac:dyDescent="0.3">
      <c r="A30" s="60">
        <v>43904</v>
      </c>
      <c r="B30">
        <v>3941.92</v>
      </c>
    </row>
    <row r="31" spans="1:2" x14ac:dyDescent="0.3">
      <c r="A31" s="60">
        <v>43905</v>
      </c>
      <c r="B31">
        <v>3941.92</v>
      </c>
    </row>
    <row r="32" spans="1:2" x14ac:dyDescent="0.3">
      <c r="A32" s="60">
        <v>43906</v>
      </c>
      <c r="B32">
        <v>3941.92</v>
      </c>
    </row>
    <row r="33" spans="1:2" x14ac:dyDescent="0.3">
      <c r="A33" s="60">
        <v>43907</v>
      </c>
      <c r="B33">
        <v>4099.93</v>
      </c>
    </row>
    <row r="34" spans="1:2" x14ac:dyDescent="0.3">
      <c r="A34" s="60">
        <v>43908</v>
      </c>
      <c r="B34">
        <v>4044.55</v>
      </c>
    </row>
    <row r="35" spans="1:2" x14ac:dyDescent="0.3">
      <c r="A35" s="60">
        <v>43909</v>
      </c>
      <c r="B35">
        <v>4128.38</v>
      </c>
    </row>
    <row r="36" spans="1:2" x14ac:dyDescent="0.3">
      <c r="A36" s="60">
        <v>43910</v>
      </c>
      <c r="B36">
        <v>4153.91</v>
      </c>
    </row>
    <row r="37" spans="1:2" x14ac:dyDescent="0.3">
      <c r="A37" s="60">
        <v>43911</v>
      </c>
      <c r="B37">
        <v>4079.96</v>
      </c>
    </row>
    <row r="38" spans="1:2" x14ac:dyDescent="0.3">
      <c r="A38" s="60">
        <v>43912</v>
      </c>
      <c r="B38">
        <v>4079.96</v>
      </c>
    </row>
    <row r="39" spans="1:2" x14ac:dyDescent="0.3">
      <c r="A39" s="60">
        <v>43913</v>
      </c>
      <c r="B39">
        <v>4079.96</v>
      </c>
    </row>
    <row r="40" spans="1:2" x14ac:dyDescent="0.3">
      <c r="A40" s="60">
        <v>43914</v>
      </c>
      <c r="B40">
        <v>4079.96</v>
      </c>
    </row>
    <row r="41" spans="1:2" x14ac:dyDescent="0.3">
      <c r="A41" s="60">
        <v>43915</v>
      </c>
      <c r="B41">
        <v>4104.8999999999996</v>
      </c>
    </row>
    <row r="42" spans="1:2" x14ac:dyDescent="0.3">
      <c r="A42" s="60">
        <v>43916</v>
      </c>
      <c r="B42">
        <v>4086.34</v>
      </c>
    </row>
    <row r="43" spans="1:2" x14ac:dyDescent="0.3">
      <c r="A43" s="60">
        <v>43917</v>
      </c>
      <c r="B43">
        <v>3995.83</v>
      </c>
    </row>
    <row r="44" spans="1:2" x14ac:dyDescent="0.3">
      <c r="A44" s="60">
        <v>43918</v>
      </c>
      <c r="B44">
        <v>4042.8</v>
      </c>
    </row>
    <row r="45" spans="1:2" x14ac:dyDescent="0.3">
      <c r="A45" s="60">
        <v>43919</v>
      </c>
      <c r="B45">
        <v>4042.8</v>
      </c>
    </row>
    <row r="46" spans="1:2" x14ac:dyDescent="0.3">
      <c r="A46" s="60">
        <v>43920</v>
      </c>
      <c r="B46">
        <v>4042.8</v>
      </c>
    </row>
    <row r="47" spans="1:2" x14ac:dyDescent="0.3">
      <c r="A47" s="60">
        <v>43921</v>
      </c>
      <c r="B47">
        <v>4064.81</v>
      </c>
    </row>
    <row r="48" spans="1:2" x14ac:dyDescent="0.3">
      <c r="A48" s="60">
        <v>43922</v>
      </c>
      <c r="B48">
        <v>4054.54</v>
      </c>
    </row>
    <row r="49" spans="1:2" x14ac:dyDescent="0.3">
      <c r="A49" s="60">
        <v>43923</v>
      </c>
      <c r="B49">
        <v>4081.06</v>
      </c>
    </row>
    <row r="50" spans="1:2" x14ac:dyDescent="0.3">
      <c r="A50" s="60">
        <v>43924</v>
      </c>
      <c r="B50">
        <v>4065.5</v>
      </c>
    </row>
    <row r="51" spans="1:2" x14ac:dyDescent="0.3">
      <c r="A51" s="60">
        <v>43925</v>
      </c>
      <c r="B51">
        <v>4008.78</v>
      </c>
    </row>
    <row r="52" spans="1:2" x14ac:dyDescent="0.3">
      <c r="A52" s="60">
        <v>43926</v>
      </c>
      <c r="B52">
        <v>4008.78</v>
      </c>
    </row>
    <row r="53" spans="1:2" x14ac:dyDescent="0.3">
      <c r="A53" s="60">
        <v>43927</v>
      </c>
      <c r="B53">
        <v>4008.78</v>
      </c>
    </row>
    <row r="54" spans="1:2" x14ac:dyDescent="0.3">
      <c r="A54" s="60">
        <v>43928</v>
      </c>
      <c r="B54">
        <v>3978.38</v>
      </c>
    </row>
    <row r="55" spans="1:2" x14ac:dyDescent="0.3">
      <c r="A55" s="60">
        <v>43929</v>
      </c>
      <c r="B55">
        <v>3910.15</v>
      </c>
    </row>
    <row r="56" spans="1:2" x14ac:dyDescent="0.3">
      <c r="A56" s="60">
        <v>43930</v>
      </c>
      <c r="B56">
        <v>3886.79</v>
      </c>
    </row>
    <row r="57" spans="1:2" x14ac:dyDescent="0.3">
      <c r="A57" s="60">
        <v>43931</v>
      </c>
      <c r="B57">
        <v>3886.79</v>
      </c>
    </row>
    <row r="58" spans="1:2" x14ac:dyDescent="0.3">
      <c r="A58" s="60">
        <v>43932</v>
      </c>
      <c r="B58">
        <v>3886.79</v>
      </c>
    </row>
    <row r="59" spans="1:2" x14ac:dyDescent="0.3">
      <c r="A59" s="60">
        <v>43933</v>
      </c>
      <c r="B59">
        <v>3886.79</v>
      </c>
    </row>
    <row r="60" spans="1:2" x14ac:dyDescent="0.3">
      <c r="A60" s="60">
        <v>43934</v>
      </c>
      <c r="B60">
        <v>3886.79</v>
      </c>
    </row>
    <row r="61" spans="1:2" x14ac:dyDescent="0.3">
      <c r="A61" s="60">
        <v>43935</v>
      </c>
      <c r="B61">
        <v>3870.31</v>
      </c>
    </row>
    <row r="62" spans="1:2" x14ac:dyDescent="0.3">
      <c r="A62" s="60">
        <v>43936</v>
      </c>
      <c r="B62">
        <v>3858.21</v>
      </c>
    </row>
    <row r="63" spans="1:2" x14ac:dyDescent="0.3">
      <c r="A63" s="60">
        <v>43937</v>
      </c>
      <c r="B63">
        <v>3920.83</v>
      </c>
    </row>
    <row r="64" spans="1:2" x14ac:dyDescent="0.3">
      <c r="A64" s="60">
        <v>43938</v>
      </c>
      <c r="B64">
        <v>3942.92</v>
      </c>
    </row>
    <row r="65" spans="1:2" x14ac:dyDescent="0.3">
      <c r="A65" s="60">
        <v>43939</v>
      </c>
      <c r="B65">
        <v>3973.06</v>
      </c>
    </row>
    <row r="66" spans="1:2" x14ac:dyDescent="0.3">
      <c r="A66" s="60">
        <v>43940</v>
      </c>
      <c r="B66">
        <v>3973.06</v>
      </c>
    </row>
    <row r="67" spans="1:2" x14ac:dyDescent="0.3">
      <c r="A67" s="60">
        <v>43941</v>
      </c>
      <c r="B67">
        <v>3973.06</v>
      </c>
    </row>
    <row r="68" spans="1:2" x14ac:dyDescent="0.3">
      <c r="A68" s="60">
        <v>43942</v>
      </c>
      <c r="B68">
        <v>3967.76</v>
      </c>
    </row>
    <row r="69" spans="1:2" x14ac:dyDescent="0.3">
      <c r="A69" s="60">
        <v>43943</v>
      </c>
      <c r="B69">
        <v>4045.01</v>
      </c>
    </row>
    <row r="70" spans="1:2" x14ac:dyDescent="0.3">
      <c r="A70" s="60">
        <v>43944</v>
      </c>
      <c r="B70">
        <v>4037.95</v>
      </c>
    </row>
    <row r="71" spans="1:2" x14ac:dyDescent="0.3">
      <c r="A71" s="60">
        <v>43945</v>
      </c>
      <c r="B71">
        <v>4020.94</v>
      </c>
    </row>
    <row r="72" spans="1:2" x14ac:dyDescent="0.3">
      <c r="A72" s="60">
        <v>43946</v>
      </c>
      <c r="B72">
        <v>4039.87</v>
      </c>
    </row>
    <row r="73" spans="1:2" x14ac:dyDescent="0.3">
      <c r="A73" s="60">
        <v>43947</v>
      </c>
      <c r="B73">
        <v>4039.87</v>
      </c>
    </row>
    <row r="74" spans="1:2" x14ac:dyDescent="0.3">
      <c r="A74" s="60">
        <v>43948</v>
      </c>
      <c r="B74">
        <v>4039.87</v>
      </c>
    </row>
    <row r="75" spans="1:2" x14ac:dyDescent="0.3">
      <c r="A75" s="60">
        <v>43949</v>
      </c>
      <c r="B75">
        <v>4039.83</v>
      </c>
    </row>
    <row r="76" spans="1:2" x14ac:dyDescent="0.3">
      <c r="A76" s="60">
        <v>43950</v>
      </c>
      <c r="B76">
        <v>4046.04</v>
      </c>
    </row>
    <row r="77" spans="1:2" x14ac:dyDescent="0.3">
      <c r="A77" s="60">
        <v>43951</v>
      </c>
      <c r="B77">
        <v>3983.29</v>
      </c>
    </row>
    <row r="78" spans="1:2" x14ac:dyDescent="0.3">
      <c r="A78" s="60">
        <v>43952</v>
      </c>
      <c r="B78">
        <v>3932.72</v>
      </c>
    </row>
    <row r="79" spans="1:2" x14ac:dyDescent="0.3">
      <c r="A79" s="60">
        <v>43953</v>
      </c>
      <c r="B79">
        <v>3932.72</v>
      </c>
    </row>
    <row r="80" spans="1:2" x14ac:dyDescent="0.3">
      <c r="A80" s="60">
        <v>43954</v>
      </c>
      <c r="B80">
        <v>3932.72</v>
      </c>
    </row>
    <row r="81" spans="1:2" x14ac:dyDescent="0.3">
      <c r="A81" s="60">
        <v>43955</v>
      </c>
      <c r="B81">
        <v>3932.72</v>
      </c>
    </row>
    <row r="82" spans="1:2" x14ac:dyDescent="0.3">
      <c r="A82" s="60">
        <v>43956</v>
      </c>
      <c r="B82">
        <v>3990.1</v>
      </c>
    </row>
    <row r="83" spans="1:2" x14ac:dyDescent="0.3">
      <c r="A83" s="60">
        <v>43957</v>
      </c>
      <c r="B83">
        <v>3926.07</v>
      </c>
    </row>
    <row r="84" spans="1:2" x14ac:dyDescent="0.3">
      <c r="A84" s="60">
        <v>43958</v>
      </c>
      <c r="B84">
        <v>3961.66</v>
      </c>
    </row>
    <row r="85" spans="1:2" x14ac:dyDescent="0.3">
      <c r="A85" s="60">
        <v>43959</v>
      </c>
      <c r="B85">
        <v>3924.54</v>
      </c>
    </row>
    <row r="86" spans="1:2" x14ac:dyDescent="0.3">
      <c r="A86" s="60">
        <v>43960</v>
      </c>
      <c r="B86">
        <v>3882.27</v>
      </c>
    </row>
    <row r="87" spans="1:2" x14ac:dyDescent="0.3">
      <c r="A87" s="60">
        <v>43961</v>
      </c>
      <c r="B87">
        <v>3882.27</v>
      </c>
    </row>
    <row r="88" spans="1:2" x14ac:dyDescent="0.3">
      <c r="A88" s="60">
        <v>43962</v>
      </c>
      <c r="B88">
        <v>3882.27</v>
      </c>
    </row>
    <row r="89" spans="1:2" x14ac:dyDescent="0.3">
      <c r="A89" s="60">
        <v>43963</v>
      </c>
      <c r="B89">
        <v>3901.34</v>
      </c>
    </row>
    <row r="90" spans="1:2" x14ac:dyDescent="0.3">
      <c r="A90" s="60">
        <v>43964</v>
      </c>
      <c r="B90">
        <v>3880.48</v>
      </c>
    </row>
    <row r="91" spans="1:2" x14ac:dyDescent="0.3">
      <c r="A91" s="60">
        <v>43965</v>
      </c>
      <c r="B91">
        <v>3901.3</v>
      </c>
    </row>
    <row r="92" spans="1:2" x14ac:dyDescent="0.3">
      <c r="A92" s="60">
        <v>43966</v>
      </c>
      <c r="B92">
        <v>3947.79</v>
      </c>
    </row>
    <row r="93" spans="1:2" x14ac:dyDescent="0.3">
      <c r="A93" s="60">
        <v>43967</v>
      </c>
      <c r="B93">
        <v>3926.06</v>
      </c>
    </row>
    <row r="94" spans="1:2" x14ac:dyDescent="0.3">
      <c r="A94" s="60">
        <v>43968</v>
      </c>
      <c r="B94">
        <v>3926.06</v>
      </c>
    </row>
    <row r="95" spans="1:2" x14ac:dyDescent="0.3">
      <c r="A95" s="60">
        <v>43969</v>
      </c>
      <c r="B95">
        <v>3926.06</v>
      </c>
    </row>
    <row r="96" spans="1:2" x14ac:dyDescent="0.3">
      <c r="A96" s="60">
        <v>43970</v>
      </c>
      <c r="B96">
        <v>3851.07</v>
      </c>
    </row>
    <row r="97" spans="1:2" x14ac:dyDescent="0.3">
      <c r="A97" s="60">
        <v>43971</v>
      </c>
      <c r="B97">
        <v>3824.3</v>
      </c>
    </row>
    <row r="98" spans="1:2" x14ac:dyDescent="0.3">
      <c r="A98" s="60">
        <v>43972</v>
      </c>
      <c r="B98">
        <v>3804.12</v>
      </c>
    </row>
    <row r="99" spans="1:2" x14ac:dyDescent="0.3">
      <c r="A99" s="60">
        <v>43973</v>
      </c>
      <c r="B99">
        <v>3774.25</v>
      </c>
    </row>
    <row r="100" spans="1:2" x14ac:dyDescent="0.3">
      <c r="A100" s="60">
        <v>43974</v>
      </c>
      <c r="B100">
        <v>3782.66</v>
      </c>
    </row>
    <row r="101" spans="1:2" x14ac:dyDescent="0.3">
      <c r="A101" s="60">
        <v>43975</v>
      </c>
      <c r="B101">
        <v>3782.66</v>
      </c>
    </row>
    <row r="102" spans="1:2" x14ac:dyDescent="0.3">
      <c r="A102" s="60">
        <v>43976</v>
      </c>
      <c r="B102">
        <v>3782.66</v>
      </c>
    </row>
    <row r="103" spans="1:2" x14ac:dyDescent="0.3">
      <c r="A103" s="60">
        <v>43977</v>
      </c>
      <c r="B103">
        <v>3782.66</v>
      </c>
    </row>
    <row r="104" spans="1:2" x14ac:dyDescent="0.3">
      <c r="A104" s="60">
        <v>43978</v>
      </c>
      <c r="B104">
        <v>3725.56</v>
      </c>
    </row>
    <row r="105" spans="1:2" x14ac:dyDescent="0.3">
      <c r="A105" s="60">
        <v>43979</v>
      </c>
      <c r="B105">
        <v>3743.79</v>
      </c>
    </row>
    <row r="106" spans="1:2" x14ac:dyDescent="0.3">
      <c r="A106" s="60">
        <v>43980</v>
      </c>
      <c r="B106">
        <v>3723.42</v>
      </c>
    </row>
    <row r="107" spans="1:2" x14ac:dyDescent="0.3">
      <c r="A107" s="60">
        <v>43981</v>
      </c>
      <c r="B107">
        <v>3718.82</v>
      </c>
    </row>
    <row r="108" spans="1:2" x14ac:dyDescent="0.3">
      <c r="A108" s="60">
        <v>43982</v>
      </c>
      <c r="B108">
        <v>3718.82</v>
      </c>
    </row>
    <row r="109" spans="1:2" x14ac:dyDescent="0.3">
      <c r="A109" s="60">
        <v>43983</v>
      </c>
      <c r="B109">
        <v>3718.82</v>
      </c>
    </row>
    <row r="110" spans="1:2" x14ac:dyDescent="0.3">
      <c r="A110" s="60">
        <v>43984</v>
      </c>
      <c r="B110">
        <v>3716.35</v>
      </c>
    </row>
    <row r="111" spans="1:2" x14ac:dyDescent="0.3">
      <c r="A111" s="60">
        <v>43985</v>
      </c>
      <c r="B111">
        <v>3651.42</v>
      </c>
    </row>
    <row r="112" spans="1:2" x14ac:dyDescent="0.3">
      <c r="A112" s="60">
        <v>43986</v>
      </c>
      <c r="B112">
        <v>3588.89</v>
      </c>
    </row>
    <row r="113" spans="1:2" x14ac:dyDescent="0.3">
      <c r="A113" s="60">
        <v>43987</v>
      </c>
      <c r="B113">
        <v>3597.47</v>
      </c>
    </row>
    <row r="114" spans="1:2" x14ac:dyDescent="0.3">
      <c r="A114" s="60">
        <v>43988</v>
      </c>
      <c r="B114">
        <v>3565.06</v>
      </c>
    </row>
    <row r="115" spans="1:2" x14ac:dyDescent="0.3">
      <c r="A115" s="60">
        <v>43989</v>
      </c>
      <c r="B115">
        <v>3565.06</v>
      </c>
    </row>
    <row r="116" spans="1:2" x14ac:dyDescent="0.3">
      <c r="A116" s="60">
        <v>43990</v>
      </c>
      <c r="B116">
        <v>3565.06</v>
      </c>
    </row>
    <row r="117" spans="1:2" x14ac:dyDescent="0.3">
      <c r="A117" s="60">
        <v>43991</v>
      </c>
      <c r="B117">
        <v>3599</v>
      </c>
    </row>
    <row r="118" spans="1:2" x14ac:dyDescent="0.3">
      <c r="A118" s="60">
        <v>43992</v>
      </c>
      <c r="B118">
        <v>3643.02</v>
      </c>
    </row>
    <row r="119" spans="1:2" x14ac:dyDescent="0.3">
      <c r="A119" s="60">
        <v>43993</v>
      </c>
      <c r="B119">
        <v>3674.81</v>
      </c>
    </row>
    <row r="120" spans="1:2" x14ac:dyDescent="0.3">
      <c r="A120" s="60">
        <v>43994</v>
      </c>
      <c r="B120">
        <v>3746.46</v>
      </c>
    </row>
    <row r="121" spans="1:2" x14ac:dyDescent="0.3">
      <c r="A121" s="60">
        <v>43995</v>
      </c>
      <c r="B121">
        <v>3758.15</v>
      </c>
    </row>
    <row r="122" spans="1:2" x14ac:dyDescent="0.3">
      <c r="A122" s="60">
        <v>43996</v>
      </c>
      <c r="B122">
        <v>3758.15</v>
      </c>
    </row>
    <row r="123" spans="1:2" x14ac:dyDescent="0.3">
      <c r="A123" s="60">
        <v>43997</v>
      </c>
      <c r="B123">
        <v>3758.15</v>
      </c>
    </row>
    <row r="124" spans="1:2" x14ac:dyDescent="0.3">
      <c r="A124" s="60">
        <v>43998</v>
      </c>
      <c r="B124">
        <v>3758.15</v>
      </c>
    </row>
    <row r="125" spans="1:2" x14ac:dyDescent="0.3">
      <c r="A125" s="60">
        <v>43999</v>
      </c>
      <c r="B125">
        <v>3741.88</v>
      </c>
    </row>
    <row r="126" spans="1:2" x14ac:dyDescent="0.3">
      <c r="A126" s="60">
        <v>44000</v>
      </c>
      <c r="B126">
        <v>3749.03</v>
      </c>
    </row>
    <row r="127" spans="1:2" x14ac:dyDescent="0.3">
      <c r="A127" s="60">
        <v>44001</v>
      </c>
      <c r="B127">
        <v>3760.22</v>
      </c>
    </row>
    <row r="128" spans="1:2" x14ac:dyDescent="0.3">
      <c r="A128" s="60">
        <v>44002</v>
      </c>
      <c r="B128">
        <v>3733.27</v>
      </c>
    </row>
    <row r="129" spans="1:2" x14ac:dyDescent="0.3">
      <c r="A129" s="60">
        <v>44003</v>
      </c>
      <c r="B129">
        <v>3733.27</v>
      </c>
    </row>
    <row r="130" spans="1:2" x14ac:dyDescent="0.3">
      <c r="A130" s="60">
        <v>44004</v>
      </c>
      <c r="B130">
        <v>3733.27</v>
      </c>
    </row>
    <row r="131" spans="1:2" x14ac:dyDescent="0.3">
      <c r="A131" s="60">
        <v>44005</v>
      </c>
      <c r="B131">
        <v>3733.27</v>
      </c>
    </row>
    <row r="132" spans="1:2" x14ac:dyDescent="0.3">
      <c r="A132" s="60">
        <v>44006</v>
      </c>
      <c r="B132">
        <v>3706.06</v>
      </c>
    </row>
    <row r="133" spans="1:2" x14ac:dyDescent="0.3">
      <c r="A133" s="60">
        <v>44007</v>
      </c>
      <c r="B133">
        <v>3722.27</v>
      </c>
    </row>
    <row r="134" spans="1:2" x14ac:dyDescent="0.3">
      <c r="A134" s="60">
        <v>44008</v>
      </c>
      <c r="B134">
        <v>3735.93</v>
      </c>
    </row>
    <row r="135" spans="1:2" x14ac:dyDescent="0.3">
      <c r="A135" s="60">
        <v>44009</v>
      </c>
      <c r="B135">
        <v>3758.91</v>
      </c>
    </row>
    <row r="136" spans="1:2" x14ac:dyDescent="0.3">
      <c r="A136" s="60">
        <v>44010</v>
      </c>
      <c r="B136">
        <v>3758.91</v>
      </c>
    </row>
    <row r="137" spans="1:2" x14ac:dyDescent="0.3">
      <c r="A137" s="60">
        <v>44011</v>
      </c>
      <c r="B137">
        <v>3758.91</v>
      </c>
    </row>
    <row r="138" spans="1:2" x14ac:dyDescent="0.3">
      <c r="A138" s="60">
        <v>44012</v>
      </c>
      <c r="B138">
        <v>3758.91</v>
      </c>
    </row>
    <row r="139" spans="1:2" x14ac:dyDescent="0.3">
      <c r="A139" s="60">
        <v>44013</v>
      </c>
      <c r="B139">
        <v>3756.28</v>
      </c>
    </row>
    <row r="140" spans="1:2" x14ac:dyDescent="0.3">
      <c r="A140" s="60">
        <v>44014</v>
      </c>
      <c r="B140">
        <v>3723.67</v>
      </c>
    </row>
    <row r="141" spans="1:2" x14ac:dyDescent="0.3">
      <c r="A141" s="60">
        <v>44015</v>
      </c>
      <c r="B141">
        <v>3660.18</v>
      </c>
    </row>
    <row r="142" spans="1:2" x14ac:dyDescent="0.3">
      <c r="A142" s="60">
        <v>44016</v>
      </c>
      <c r="B142">
        <v>3645.9</v>
      </c>
    </row>
    <row r="143" spans="1:2" x14ac:dyDescent="0.3">
      <c r="A143" s="60">
        <v>44017</v>
      </c>
      <c r="B143">
        <v>3645.9</v>
      </c>
    </row>
    <row r="144" spans="1:2" x14ac:dyDescent="0.3">
      <c r="A144" s="60">
        <v>44018</v>
      </c>
      <c r="B144">
        <v>3645.9</v>
      </c>
    </row>
    <row r="145" spans="1:2" x14ac:dyDescent="0.3">
      <c r="A145" s="60">
        <v>44019</v>
      </c>
      <c r="B145">
        <v>3633.32</v>
      </c>
    </row>
    <row r="146" spans="1:2" x14ac:dyDescent="0.3">
      <c r="A146" s="60">
        <v>44020</v>
      </c>
      <c r="B146">
        <v>3631.54</v>
      </c>
    </row>
    <row r="147" spans="1:2" x14ac:dyDescent="0.3">
      <c r="A147" s="60">
        <v>44021</v>
      </c>
      <c r="B147">
        <v>3625.61</v>
      </c>
    </row>
    <row r="148" spans="1:2" x14ac:dyDescent="0.3">
      <c r="A148" s="60">
        <v>44022</v>
      </c>
      <c r="B148">
        <v>3633.42</v>
      </c>
    </row>
    <row r="149" spans="1:2" x14ac:dyDescent="0.3">
      <c r="A149" s="60">
        <v>44023</v>
      </c>
      <c r="B149">
        <v>3615.75</v>
      </c>
    </row>
    <row r="150" spans="1:2" x14ac:dyDescent="0.3">
      <c r="A150" s="60">
        <v>44024</v>
      </c>
      <c r="B150">
        <v>3615.75</v>
      </c>
    </row>
    <row r="151" spans="1:2" x14ac:dyDescent="0.3">
      <c r="A151" s="60">
        <v>44025</v>
      </c>
      <c r="B151">
        <v>3615.75</v>
      </c>
    </row>
    <row r="152" spans="1:2" x14ac:dyDescent="0.3">
      <c r="A152" s="60">
        <v>44026</v>
      </c>
      <c r="B152">
        <v>3617.22</v>
      </c>
    </row>
    <row r="153" spans="1:2" x14ac:dyDescent="0.3">
      <c r="A153" s="60">
        <v>44027</v>
      </c>
      <c r="B153">
        <v>3638.22</v>
      </c>
    </row>
    <row r="154" spans="1:2" x14ac:dyDescent="0.3">
      <c r="A154" s="60">
        <v>44028</v>
      </c>
      <c r="B154">
        <v>3611.61</v>
      </c>
    </row>
    <row r="155" spans="1:2" x14ac:dyDescent="0.3">
      <c r="A155" s="60">
        <v>44029</v>
      </c>
      <c r="B155">
        <v>3627.86</v>
      </c>
    </row>
    <row r="156" spans="1:2" x14ac:dyDescent="0.3">
      <c r="A156" s="60">
        <v>44030</v>
      </c>
      <c r="B156">
        <v>3651.93</v>
      </c>
    </row>
    <row r="157" spans="1:2" x14ac:dyDescent="0.3">
      <c r="A157" s="60">
        <v>44031</v>
      </c>
      <c r="B157">
        <v>3651.93</v>
      </c>
    </row>
    <row r="158" spans="1:2" x14ac:dyDescent="0.3">
      <c r="A158" s="60">
        <v>44032</v>
      </c>
      <c r="B158">
        <v>3651.93</v>
      </c>
    </row>
    <row r="159" spans="1:2" x14ac:dyDescent="0.3">
      <c r="A159" s="60">
        <v>44033</v>
      </c>
      <c r="B159">
        <v>3651.93</v>
      </c>
    </row>
    <row r="160" spans="1:2" x14ac:dyDescent="0.3">
      <c r="A160" s="60">
        <v>44034</v>
      </c>
      <c r="B160">
        <v>3628.2</v>
      </c>
    </row>
    <row r="161" spans="1:2" x14ac:dyDescent="0.3">
      <c r="A161" s="60">
        <v>44035</v>
      </c>
      <c r="B161">
        <v>3627.28</v>
      </c>
    </row>
    <row r="162" spans="1:2" x14ac:dyDescent="0.3">
      <c r="A162" s="60">
        <v>44036</v>
      </c>
      <c r="B162">
        <v>3660.15</v>
      </c>
    </row>
    <row r="163" spans="1:2" x14ac:dyDescent="0.3">
      <c r="A163" s="60">
        <v>44037</v>
      </c>
      <c r="B163">
        <v>3690.8</v>
      </c>
    </row>
    <row r="164" spans="1:2" x14ac:dyDescent="0.3">
      <c r="A164" s="60">
        <v>44038</v>
      </c>
      <c r="B164">
        <v>3690.8</v>
      </c>
    </row>
    <row r="165" spans="1:2" x14ac:dyDescent="0.3">
      <c r="A165" s="60">
        <v>44039</v>
      </c>
      <c r="B165">
        <v>3690.8</v>
      </c>
    </row>
    <row r="166" spans="1:2" x14ac:dyDescent="0.3">
      <c r="A166" s="60">
        <v>44040</v>
      </c>
      <c r="B166">
        <v>3679.17</v>
      </c>
    </row>
    <row r="167" spans="1:2" x14ac:dyDescent="0.3">
      <c r="A167" s="60">
        <v>44041</v>
      </c>
      <c r="B167">
        <v>3718.69</v>
      </c>
    </row>
    <row r="168" spans="1:2" x14ac:dyDescent="0.3">
      <c r="A168" s="60">
        <v>44042</v>
      </c>
      <c r="B168">
        <v>3716.89</v>
      </c>
    </row>
    <row r="169" spans="1:2" x14ac:dyDescent="0.3">
      <c r="A169" s="60">
        <v>44043</v>
      </c>
      <c r="B169">
        <v>3739.49</v>
      </c>
    </row>
    <row r="170" spans="1:2" x14ac:dyDescent="0.3">
      <c r="A170" s="60">
        <v>44044</v>
      </c>
      <c r="B170">
        <v>3733.08</v>
      </c>
    </row>
    <row r="171" spans="1:2" x14ac:dyDescent="0.3">
      <c r="A171" s="60">
        <v>44045</v>
      </c>
      <c r="B171">
        <v>3733.08</v>
      </c>
    </row>
    <row r="172" spans="1:2" x14ac:dyDescent="0.3">
      <c r="A172" s="60">
        <v>44046</v>
      </c>
      <c r="B172">
        <v>3733.08</v>
      </c>
    </row>
    <row r="173" spans="1:2" x14ac:dyDescent="0.3">
      <c r="A173" s="60">
        <v>44047</v>
      </c>
      <c r="B173">
        <v>3768.39</v>
      </c>
    </row>
    <row r="174" spans="1:2" x14ac:dyDescent="0.3">
      <c r="A174" s="60">
        <v>44048</v>
      </c>
      <c r="B174">
        <v>3792.98</v>
      </c>
    </row>
    <row r="175" spans="1:2" x14ac:dyDescent="0.3">
      <c r="A175" s="60">
        <v>44049</v>
      </c>
      <c r="B175">
        <v>3775.95</v>
      </c>
    </row>
    <row r="176" spans="1:2" x14ac:dyDescent="0.3">
      <c r="A176" s="60">
        <v>44050</v>
      </c>
      <c r="B176">
        <v>3769.67</v>
      </c>
    </row>
    <row r="177" spans="1:2" x14ac:dyDescent="0.3">
      <c r="A177" s="60">
        <v>44051</v>
      </c>
      <c r="B177">
        <v>3769.67</v>
      </c>
    </row>
    <row r="178" spans="1:2" x14ac:dyDescent="0.3">
      <c r="A178" s="60">
        <v>44052</v>
      </c>
      <c r="B178">
        <v>3769.67</v>
      </c>
    </row>
    <row r="179" spans="1:2" x14ac:dyDescent="0.3">
      <c r="A179" s="60">
        <v>44053</v>
      </c>
      <c r="B179">
        <v>3769.67</v>
      </c>
    </row>
    <row r="180" spans="1:2" x14ac:dyDescent="0.3">
      <c r="A180" s="60">
        <v>44054</v>
      </c>
      <c r="B180">
        <v>3770.22</v>
      </c>
    </row>
    <row r="181" spans="1:2" x14ac:dyDescent="0.3">
      <c r="A181" s="60">
        <v>44055</v>
      </c>
      <c r="B181">
        <v>3749.3</v>
      </c>
    </row>
    <row r="182" spans="1:2" x14ac:dyDescent="0.3">
      <c r="A182" s="60">
        <v>44056</v>
      </c>
      <c r="B182">
        <v>3755.61</v>
      </c>
    </row>
    <row r="183" spans="1:2" x14ac:dyDescent="0.3">
      <c r="A183" s="60">
        <v>44057</v>
      </c>
      <c r="B183">
        <v>3767.05</v>
      </c>
    </row>
    <row r="184" spans="1:2" x14ac:dyDescent="0.3">
      <c r="A184" s="60">
        <v>44058</v>
      </c>
      <c r="B184">
        <v>3783.15</v>
      </c>
    </row>
    <row r="185" spans="1:2" x14ac:dyDescent="0.3">
      <c r="A185" s="60">
        <v>44059</v>
      </c>
      <c r="B185">
        <v>3783.15</v>
      </c>
    </row>
    <row r="186" spans="1:2" x14ac:dyDescent="0.3">
      <c r="A186" s="60">
        <v>44060</v>
      </c>
      <c r="B186">
        <v>3783.15</v>
      </c>
    </row>
    <row r="187" spans="1:2" x14ac:dyDescent="0.3">
      <c r="A187" s="60">
        <v>44061</v>
      </c>
      <c r="B187">
        <v>3783.15</v>
      </c>
    </row>
    <row r="188" spans="1:2" x14ac:dyDescent="0.3">
      <c r="A188" s="60">
        <v>44062</v>
      </c>
      <c r="B188">
        <v>3784.15</v>
      </c>
    </row>
    <row r="189" spans="1:2" x14ac:dyDescent="0.3">
      <c r="A189" s="60">
        <v>44063</v>
      </c>
      <c r="B189">
        <v>3766.73</v>
      </c>
    </row>
    <row r="190" spans="1:2" x14ac:dyDescent="0.3">
      <c r="A190" s="60">
        <v>44064</v>
      </c>
      <c r="B190">
        <v>3792.13</v>
      </c>
    </row>
    <row r="191" spans="1:2" x14ac:dyDescent="0.3">
      <c r="A191" s="60">
        <v>44065</v>
      </c>
      <c r="B191">
        <v>3827.27</v>
      </c>
    </row>
    <row r="192" spans="1:2" x14ac:dyDescent="0.3">
      <c r="A192" s="60">
        <v>44066</v>
      </c>
      <c r="B192">
        <v>3827.27</v>
      </c>
    </row>
    <row r="193" spans="1:2" x14ac:dyDescent="0.3">
      <c r="A193" s="60">
        <v>44067</v>
      </c>
      <c r="B193">
        <v>3827.27</v>
      </c>
    </row>
    <row r="194" spans="1:2" x14ac:dyDescent="0.3">
      <c r="A194" s="60">
        <v>44068</v>
      </c>
      <c r="B194">
        <v>3843.69</v>
      </c>
    </row>
    <row r="195" spans="1:2" x14ac:dyDescent="0.3">
      <c r="A195" s="60">
        <v>44069</v>
      </c>
      <c r="B195">
        <v>3867.32</v>
      </c>
    </row>
    <row r="196" spans="1:2" x14ac:dyDescent="0.3">
      <c r="A196" s="60">
        <v>44070</v>
      </c>
      <c r="B196">
        <v>3846.64</v>
      </c>
    </row>
    <row r="197" spans="1:2" x14ac:dyDescent="0.3">
      <c r="A197" s="60">
        <v>44071</v>
      </c>
      <c r="B197">
        <v>3820.17</v>
      </c>
    </row>
    <row r="198" spans="1:2" x14ac:dyDescent="0.3">
      <c r="A198" s="60">
        <v>44072</v>
      </c>
      <c r="B198">
        <v>3760.38</v>
      </c>
    </row>
    <row r="199" spans="1:2" x14ac:dyDescent="0.3">
      <c r="A199" s="60">
        <v>44073</v>
      </c>
      <c r="B199">
        <v>3760.38</v>
      </c>
    </row>
    <row r="200" spans="1:2" x14ac:dyDescent="0.3">
      <c r="A200" s="60">
        <v>44074</v>
      </c>
      <c r="B200">
        <v>3760.38</v>
      </c>
    </row>
    <row r="201" spans="1:2" x14ac:dyDescent="0.3">
      <c r="A201" s="60">
        <v>44075</v>
      </c>
      <c r="B201">
        <v>3745.41</v>
      </c>
    </row>
    <row r="202" spans="1:2" x14ac:dyDescent="0.3">
      <c r="A202" s="60">
        <v>44076</v>
      </c>
      <c r="B202">
        <v>3683.28</v>
      </c>
    </row>
    <row r="203" spans="1:2" x14ac:dyDescent="0.3">
      <c r="A203" s="60">
        <v>44077</v>
      </c>
      <c r="B203">
        <v>3653.7</v>
      </c>
    </row>
    <row r="204" spans="1:2" x14ac:dyDescent="0.3">
      <c r="A204" s="60">
        <v>44078</v>
      </c>
      <c r="B204">
        <v>3653.23</v>
      </c>
    </row>
    <row r="205" spans="1:2" x14ac:dyDescent="0.3">
      <c r="A205" s="60">
        <v>44079</v>
      </c>
      <c r="B205">
        <v>3702.62</v>
      </c>
    </row>
    <row r="206" spans="1:2" x14ac:dyDescent="0.3">
      <c r="A206" s="60">
        <v>44080</v>
      </c>
      <c r="B206">
        <v>3702.62</v>
      </c>
    </row>
    <row r="207" spans="1:2" x14ac:dyDescent="0.3">
      <c r="A207" s="60">
        <v>44081</v>
      </c>
      <c r="B207">
        <v>3702.62</v>
      </c>
    </row>
    <row r="208" spans="1:2" x14ac:dyDescent="0.3">
      <c r="A208" s="60">
        <v>44082</v>
      </c>
      <c r="B208">
        <v>3702.62</v>
      </c>
    </row>
    <row r="209" spans="1:2" x14ac:dyDescent="0.3">
      <c r="A209" s="60">
        <v>44083</v>
      </c>
      <c r="B209">
        <v>3757.21</v>
      </c>
    </row>
    <row r="210" spans="1:2" x14ac:dyDescent="0.3">
      <c r="A210" s="60">
        <v>44084</v>
      </c>
      <c r="B210">
        <v>3717.25</v>
      </c>
    </row>
    <row r="211" spans="1:2" x14ac:dyDescent="0.3">
      <c r="A211" s="60">
        <v>44085</v>
      </c>
      <c r="B211">
        <v>3700.28</v>
      </c>
    </row>
    <row r="212" spans="1:2" x14ac:dyDescent="0.3">
      <c r="A212" s="60">
        <v>44086</v>
      </c>
      <c r="B212">
        <v>3709</v>
      </c>
    </row>
    <row r="213" spans="1:2" x14ac:dyDescent="0.3">
      <c r="A213" s="60">
        <v>44087</v>
      </c>
      <c r="B213">
        <v>3709</v>
      </c>
    </row>
    <row r="214" spans="1:2" x14ac:dyDescent="0.3">
      <c r="A214" s="60">
        <v>44088</v>
      </c>
      <c r="B214">
        <v>3709</v>
      </c>
    </row>
    <row r="215" spans="1:2" x14ac:dyDescent="0.3">
      <c r="A215" s="60">
        <v>44089</v>
      </c>
      <c r="B215">
        <v>3697</v>
      </c>
    </row>
    <row r="216" spans="1:2" x14ac:dyDescent="0.3">
      <c r="A216" s="60">
        <v>44090</v>
      </c>
      <c r="B216">
        <v>3683.49</v>
      </c>
    </row>
    <row r="217" spans="1:2" x14ac:dyDescent="0.3">
      <c r="A217" s="60">
        <v>44091</v>
      </c>
      <c r="B217">
        <v>3703.86</v>
      </c>
    </row>
    <row r="218" spans="1:2" x14ac:dyDescent="0.3">
      <c r="A218" s="60">
        <v>44092</v>
      </c>
      <c r="B218">
        <v>3714.65</v>
      </c>
    </row>
    <row r="219" spans="1:2" x14ac:dyDescent="0.3">
      <c r="A219" s="60">
        <v>44093</v>
      </c>
      <c r="B219">
        <v>3725.37</v>
      </c>
    </row>
    <row r="220" spans="1:2" x14ac:dyDescent="0.3">
      <c r="A220" s="60">
        <v>44094</v>
      </c>
      <c r="B220">
        <v>3725.37</v>
      </c>
    </row>
    <row r="221" spans="1:2" x14ac:dyDescent="0.3">
      <c r="A221" s="60">
        <v>44095</v>
      </c>
      <c r="B221">
        <v>3725.37</v>
      </c>
    </row>
    <row r="222" spans="1:2" x14ac:dyDescent="0.3">
      <c r="A222" s="60">
        <v>44096</v>
      </c>
      <c r="B222">
        <v>3790.54</v>
      </c>
    </row>
    <row r="223" spans="1:2" x14ac:dyDescent="0.3">
      <c r="A223" s="60">
        <v>44097</v>
      </c>
      <c r="B223">
        <v>3813.3</v>
      </c>
    </row>
    <row r="224" spans="1:2" x14ac:dyDescent="0.3">
      <c r="A224" s="60">
        <v>44098</v>
      </c>
      <c r="B224">
        <v>3863.6</v>
      </c>
    </row>
    <row r="225" spans="1:2" x14ac:dyDescent="0.3">
      <c r="A225" s="60">
        <v>44099</v>
      </c>
      <c r="B225">
        <v>3873.8</v>
      </c>
    </row>
    <row r="226" spans="1:2" x14ac:dyDescent="0.3">
      <c r="A226" s="60">
        <v>44100</v>
      </c>
      <c r="B226">
        <v>3867.81</v>
      </c>
    </row>
    <row r="227" spans="1:2" x14ac:dyDescent="0.3">
      <c r="A227" s="60">
        <v>44101</v>
      </c>
      <c r="B227">
        <v>3867.81</v>
      </c>
    </row>
    <row r="228" spans="1:2" x14ac:dyDescent="0.3">
      <c r="A228" s="60">
        <v>44102</v>
      </c>
      <c r="B228">
        <v>3867.81</v>
      </c>
    </row>
    <row r="229" spans="1:2" x14ac:dyDescent="0.3">
      <c r="A229" s="60">
        <v>44103</v>
      </c>
      <c r="B229">
        <v>3859.9</v>
      </c>
    </row>
    <row r="230" spans="1:2" x14ac:dyDescent="0.3">
      <c r="A230" s="60">
        <v>44104</v>
      </c>
      <c r="B230">
        <v>3878.94</v>
      </c>
    </row>
    <row r="231" spans="1:2" x14ac:dyDescent="0.3">
      <c r="A231" s="60">
        <v>44105</v>
      </c>
      <c r="B231">
        <v>3865.47</v>
      </c>
    </row>
    <row r="232" spans="1:2" x14ac:dyDescent="0.3">
      <c r="A232" s="60">
        <v>44106</v>
      </c>
      <c r="B232">
        <v>3842.34</v>
      </c>
    </row>
    <row r="233" spans="1:2" x14ac:dyDescent="0.3">
      <c r="A233" s="60">
        <v>44107</v>
      </c>
      <c r="B233">
        <v>3881.8</v>
      </c>
    </row>
    <row r="234" spans="1:2" x14ac:dyDescent="0.3">
      <c r="A234" s="60">
        <v>44108</v>
      </c>
      <c r="B234">
        <v>3881.8</v>
      </c>
    </row>
    <row r="235" spans="1:2" x14ac:dyDescent="0.3">
      <c r="A235" s="60">
        <v>44109</v>
      </c>
      <c r="B235">
        <v>3881.8</v>
      </c>
    </row>
    <row r="236" spans="1:2" x14ac:dyDescent="0.3">
      <c r="A236" s="60">
        <v>44110</v>
      </c>
      <c r="B236">
        <v>3843.75</v>
      </c>
    </row>
    <row r="237" spans="1:2" x14ac:dyDescent="0.3">
      <c r="A237" s="60">
        <v>44111</v>
      </c>
      <c r="B237">
        <v>3826.77</v>
      </c>
    </row>
    <row r="238" spans="1:2" x14ac:dyDescent="0.3">
      <c r="A238" s="60">
        <v>44112</v>
      </c>
      <c r="B238">
        <v>3837.79</v>
      </c>
    </row>
    <row r="239" spans="1:2" x14ac:dyDescent="0.3">
      <c r="A239" s="60">
        <v>44113</v>
      </c>
      <c r="B239">
        <v>3839.73</v>
      </c>
    </row>
    <row r="240" spans="1:2" x14ac:dyDescent="0.3">
      <c r="A240" s="60">
        <v>44114</v>
      </c>
      <c r="B240">
        <v>3824.25</v>
      </c>
    </row>
    <row r="241" spans="1:2" x14ac:dyDescent="0.3">
      <c r="A241" s="60">
        <v>44115</v>
      </c>
      <c r="B241">
        <v>3824.25</v>
      </c>
    </row>
    <row r="242" spans="1:2" x14ac:dyDescent="0.3">
      <c r="A242" s="60">
        <v>44116</v>
      </c>
      <c r="B242">
        <v>3824.25</v>
      </c>
    </row>
    <row r="243" spans="1:2" x14ac:dyDescent="0.3">
      <c r="A243" s="60">
        <v>44117</v>
      </c>
      <c r="B243">
        <v>3824.25</v>
      </c>
    </row>
    <row r="244" spans="1:2" x14ac:dyDescent="0.3">
      <c r="A244" s="60">
        <v>44118</v>
      </c>
      <c r="B244">
        <v>3856.32</v>
      </c>
    </row>
    <row r="245" spans="1:2" x14ac:dyDescent="0.3">
      <c r="A245" s="60">
        <v>44119</v>
      </c>
      <c r="B245">
        <v>3843.59</v>
      </c>
    </row>
    <row r="246" spans="1:2" x14ac:dyDescent="0.3">
      <c r="A246" s="60">
        <v>44120</v>
      </c>
      <c r="B246">
        <v>3854.47</v>
      </c>
    </row>
    <row r="247" spans="1:2" x14ac:dyDescent="0.3">
      <c r="A247" s="60">
        <v>44121</v>
      </c>
      <c r="B247">
        <v>3846.48</v>
      </c>
    </row>
    <row r="248" spans="1:2" x14ac:dyDescent="0.3">
      <c r="A248" s="60">
        <v>44122</v>
      </c>
      <c r="B248">
        <v>3846.48</v>
      </c>
    </row>
    <row r="249" spans="1:2" x14ac:dyDescent="0.3">
      <c r="A249" s="60">
        <v>44123</v>
      </c>
      <c r="B249">
        <v>3846.48</v>
      </c>
    </row>
    <row r="250" spans="1:2" x14ac:dyDescent="0.3">
      <c r="A250" s="60">
        <v>44124</v>
      </c>
      <c r="B250">
        <v>3842.76</v>
      </c>
    </row>
    <row r="251" spans="1:2" x14ac:dyDescent="0.3">
      <c r="A251" s="60">
        <v>44125</v>
      </c>
      <c r="B251">
        <v>3830.79</v>
      </c>
    </row>
    <row r="252" spans="1:2" x14ac:dyDescent="0.3">
      <c r="A252" s="60">
        <v>44126</v>
      </c>
      <c r="B252">
        <v>3784.51</v>
      </c>
    </row>
    <row r="253" spans="1:2" x14ac:dyDescent="0.3">
      <c r="A253" s="60">
        <v>44127</v>
      </c>
      <c r="B253">
        <v>3776.73</v>
      </c>
    </row>
    <row r="254" spans="1:2" x14ac:dyDescent="0.3">
      <c r="A254" s="60">
        <v>44128</v>
      </c>
      <c r="B254">
        <v>3782.66</v>
      </c>
    </row>
    <row r="255" spans="1:2" x14ac:dyDescent="0.3">
      <c r="A255" s="60">
        <v>44129</v>
      </c>
      <c r="B255">
        <v>3782.66</v>
      </c>
    </row>
    <row r="256" spans="1:2" x14ac:dyDescent="0.3">
      <c r="A256" s="60">
        <v>44130</v>
      </c>
      <c r="B256">
        <v>3782.66</v>
      </c>
    </row>
    <row r="257" spans="1:2" x14ac:dyDescent="0.3">
      <c r="A257" s="60">
        <v>44131</v>
      </c>
      <c r="B257">
        <v>3812.82</v>
      </c>
    </row>
    <row r="258" spans="1:2" x14ac:dyDescent="0.3">
      <c r="A258" s="60">
        <v>44132</v>
      </c>
      <c r="B258">
        <v>3810.23</v>
      </c>
    </row>
    <row r="259" spans="1:2" x14ac:dyDescent="0.3">
      <c r="A259" s="60">
        <v>44133</v>
      </c>
      <c r="B259">
        <v>3841.46</v>
      </c>
    </row>
    <row r="260" spans="1:2" x14ac:dyDescent="0.3">
      <c r="A260" s="60">
        <v>44134</v>
      </c>
      <c r="B260">
        <v>3849.53</v>
      </c>
    </row>
    <row r="261" spans="1:2" x14ac:dyDescent="0.3">
      <c r="A261" s="60">
        <v>44135</v>
      </c>
      <c r="B261">
        <v>3858.56</v>
      </c>
    </row>
    <row r="262" spans="1:2" x14ac:dyDescent="0.3">
      <c r="A262" s="60">
        <v>44136</v>
      </c>
      <c r="B262">
        <v>3858.56</v>
      </c>
    </row>
    <row r="263" spans="1:2" x14ac:dyDescent="0.3">
      <c r="A263" s="60">
        <v>44137</v>
      </c>
      <c r="B263">
        <v>3858.56</v>
      </c>
    </row>
    <row r="264" spans="1:2" x14ac:dyDescent="0.3">
      <c r="A264" s="60">
        <v>44138</v>
      </c>
      <c r="B264">
        <v>3858.56</v>
      </c>
    </row>
    <row r="265" spans="1:2" x14ac:dyDescent="0.3">
      <c r="A265" s="60">
        <v>44139</v>
      </c>
      <c r="B265">
        <v>3823.45</v>
      </c>
    </row>
    <row r="266" spans="1:2" x14ac:dyDescent="0.3">
      <c r="A266" s="60">
        <v>44140</v>
      </c>
      <c r="B266">
        <v>3807.13</v>
      </c>
    </row>
    <row r="267" spans="1:2" x14ac:dyDescent="0.3">
      <c r="A267" s="60">
        <v>44141</v>
      </c>
      <c r="B267">
        <v>3763.82</v>
      </c>
    </row>
    <row r="268" spans="1:2" x14ac:dyDescent="0.3">
      <c r="A268" s="60">
        <v>44142</v>
      </c>
      <c r="B268">
        <v>3738.19</v>
      </c>
    </row>
    <row r="269" spans="1:2" x14ac:dyDescent="0.3">
      <c r="A269" s="60">
        <v>44143</v>
      </c>
      <c r="B269">
        <v>3738.19</v>
      </c>
    </row>
    <row r="270" spans="1:2" x14ac:dyDescent="0.3">
      <c r="A270" s="60">
        <v>44144</v>
      </c>
      <c r="B270">
        <v>3738.19</v>
      </c>
    </row>
    <row r="271" spans="1:2" x14ac:dyDescent="0.3">
      <c r="A271" s="60">
        <v>44145</v>
      </c>
      <c r="B271">
        <v>3646.15</v>
      </c>
    </row>
    <row r="272" spans="1:2" x14ac:dyDescent="0.3">
      <c r="A272" s="60">
        <v>44146</v>
      </c>
      <c r="B272">
        <v>3650.5</v>
      </c>
    </row>
    <row r="273" spans="1:2" x14ac:dyDescent="0.3">
      <c r="A273" s="60">
        <v>44147</v>
      </c>
      <c r="B273">
        <v>3650.5</v>
      </c>
    </row>
    <row r="274" spans="1:2" x14ac:dyDescent="0.3">
      <c r="A274" s="60">
        <v>44148</v>
      </c>
      <c r="B274">
        <v>3646.22</v>
      </c>
    </row>
    <row r="275" spans="1:2" x14ac:dyDescent="0.3">
      <c r="A275" s="60">
        <v>44149</v>
      </c>
      <c r="B275">
        <v>3639.95</v>
      </c>
    </row>
    <row r="276" spans="1:2" x14ac:dyDescent="0.3">
      <c r="A276" s="60">
        <v>44150</v>
      </c>
      <c r="B276">
        <v>3639.95</v>
      </c>
    </row>
    <row r="277" spans="1:2" x14ac:dyDescent="0.3">
      <c r="A277" s="60">
        <v>44151</v>
      </c>
      <c r="B277">
        <v>3639.95</v>
      </c>
    </row>
    <row r="278" spans="1:2" x14ac:dyDescent="0.3">
      <c r="A278" s="60">
        <v>44152</v>
      </c>
      <c r="B278">
        <v>3639.95</v>
      </c>
    </row>
    <row r="279" spans="1:2" x14ac:dyDescent="0.3">
      <c r="A279" s="60">
        <v>44153</v>
      </c>
      <c r="B279">
        <v>3635.19</v>
      </c>
    </row>
    <row r="280" spans="1:2" x14ac:dyDescent="0.3">
      <c r="A280" s="60">
        <v>44154</v>
      </c>
      <c r="B280">
        <v>3647.73</v>
      </c>
    </row>
    <row r="281" spans="1:2" x14ac:dyDescent="0.3">
      <c r="A281" s="60">
        <v>44155</v>
      </c>
      <c r="B281">
        <v>3647.1</v>
      </c>
    </row>
    <row r="282" spans="1:2" x14ac:dyDescent="0.3">
      <c r="A282" s="60">
        <v>44156</v>
      </c>
      <c r="B282">
        <v>3649.9</v>
      </c>
    </row>
    <row r="283" spans="1:2" x14ac:dyDescent="0.3">
      <c r="A283" s="60">
        <v>44157</v>
      </c>
      <c r="B283">
        <v>3649.9</v>
      </c>
    </row>
    <row r="284" spans="1:2" x14ac:dyDescent="0.3">
      <c r="A284" s="60">
        <v>44158</v>
      </c>
      <c r="B284">
        <v>3649.9</v>
      </c>
    </row>
    <row r="285" spans="1:2" x14ac:dyDescent="0.3">
      <c r="A285" s="60">
        <v>44159</v>
      </c>
      <c r="B285">
        <v>3632.92</v>
      </c>
    </row>
    <row r="286" spans="1:2" x14ac:dyDescent="0.3">
      <c r="A286" s="60">
        <v>44160</v>
      </c>
      <c r="B286">
        <v>3643.24</v>
      </c>
    </row>
    <row r="287" spans="1:2" x14ac:dyDescent="0.3">
      <c r="A287" s="60">
        <v>44161</v>
      </c>
      <c r="B287">
        <v>3620.39</v>
      </c>
    </row>
    <row r="288" spans="1:2" x14ac:dyDescent="0.3">
      <c r="A288" s="60">
        <v>44162</v>
      </c>
      <c r="B288">
        <v>3620.39</v>
      </c>
    </row>
    <row r="289" spans="1:2" x14ac:dyDescent="0.3">
      <c r="A289" s="60">
        <v>44163</v>
      </c>
      <c r="B289">
        <v>3611.44</v>
      </c>
    </row>
    <row r="290" spans="1:2" x14ac:dyDescent="0.3">
      <c r="A290" s="60">
        <v>44164</v>
      </c>
      <c r="B290">
        <v>3611.44</v>
      </c>
    </row>
    <row r="291" spans="1:2" x14ac:dyDescent="0.3">
      <c r="A291" s="60">
        <v>44165</v>
      </c>
      <c r="B291">
        <v>3611.44</v>
      </c>
    </row>
    <row r="292" spans="1:2" x14ac:dyDescent="0.3">
      <c r="A292" s="60">
        <v>44166</v>
      </c>
      <c r="B292">
        <v>3591.84</v>
      </c>
    </row>
    <row r="293" spans="1:2" x14ac:dyDescent="0.3">
      <c r="A293" s="60">
        <v>44167</v>
      </c>
      <c r="B293">
        <v>3558.57</v>
      </c>
    </row>
    <row r="294" spans="1:2" x14ac:dyDescent="0.3">
      <c r="A294" s="60">
        <v>44168</v>
      </c>
      <c r="B294">
        <v>3533.21</v>
      </c>
    </row>
    <row r="295" spans="1:2" x14ac:dyDescent="0.3">
      <c r="A295" s="60">
        <v>44169</v>
      </c>
      <c r="B295">
        <v>3481.44</v>
      </c>
    </row>
    <row r="296" spans="1:2" x14ac:dyDescent="0.3">
      <c r="A296" s="60">
        <v>44170</v>
      </c>
      <c r="B296">
        <v>3467.49</v>
      </c>
    </row>
    <row r="297" spans="1:2" x14ac:dyDescent="0.3">
      <c r="A297" s="60">
        <v>44171</v>
      </c>
      <c r="B297">
        <v>3467.49</v>
      </c>
    </row>
    <row r="298" spans="1:2" x14ac:dyDescent="0.3">
      <c r="A298" s="60">
        <v>44172</v>
      </c>
      <c r="B298">
        <v>3467.49</v>
      </c>
    </row>
    <row r="299" spans="1:2" x14ac:dyDescent="0.3">
      <c r="A299" s="60">
        <v>44173</v>
      </c>
      <c r="B299">
        <v>3487.65</v>
      </c>
    </row>
    <row r="300" spans="1:2" x14ac:dyDescent="0.3">
      <c r="A300" s="60">
        <v>44174</v>
      </c>
      <c r="B300">
        <v>3487.65</v>
      </c>
    </row>
    <row r="301" spans="1:2" x14ac:dyDescent="0.3">
      <c r="A301" s="60">
        <v>44175</v>
      </c>
      <c r="B301">
        <v>3465.76</v>
      </c>
    </row>
    <row r="302" spans="1:2" x14ac:dyDescent="0.3">
      <c r="A302" s="60">
        <v>44176</v>
      </c>
      <c r="B302">
        <v>3448.89</v>
      </c>
    </row>
    <row r="303" spans="1:2" x14ac:dyDescent="0.3">
      <c r="A303" s="60">
        <v>44177</v>
      </c>
      <c r="B303">
        <v>3433.45</v>
      </c>
    </row>
    <row r="304" spans="1:2" x14ac:dyDescent="0.3">
      <c r="A304" s="60">
        <v>44178</v>
      </c>
      <c r="B304">
        <v>3433.45</v>
      </c>
    </row>
    <row r="305" spans="1:2" x14ac:dyDescent="0.3">
      <c r="A305" s="60">
        <v>44179</v>
      </c>
      <c r="B305">
        <v>3433.45</v>
      </c>
    </row>
    <row r="306" spans="1:2" x14ac:dyDescent="0.3">
      <c r="A306" s="60">
        <v>44180</v>
      </c>
      <c r="B306">
        <v>3426.97</v>
      </c>
    </row>
    <row r="307" spans="1:2" x14ac:dyDescent="0.3">
      <c r="A307" s="60">
        <v>44181</v>
      </c>
      <c r="B307">
        <v>3422.44</v>
      </c>
    </row>
    <row r="308" spans="1:2" x14ac:dyDescent="0.3">
      <c r="A308" s="60">
        <v>44182</v>
      </c>
      <c r="B308">
        <v>3416.21</v>
      </c>
    </row>
    <row r="309" spans="1:2" x14ac:dyDescent="0.3">
      <c r="A309" s="60">
        <v>44183</v>
      </c>
      <c r="B309">
        <v>3410.82</v>
      </c>
    </row>
    <row r="310" spans="1:2" x14ac:dyDescent="0.3">
      <c r="A310" s="60">
        <v>44184</v>
      </c>
      <c r="B310">
        <v>3420.26</v>
      </c>
    </row>
    <row r="311" spans="1:2" x14ac:dyDescent="0.3">
      <c r="A311" s="60">
        <v>44185</v>
      </c>
      <c r="B311">
        <v>3420.26</v>
      </c>
    </row>
    <row r="312" spans="1:2" x14ac:dyDescent="0.3">
      <c r="A312" s="60">
        <v>44186</v>
      </c>
      <c r="B312">
        <v>3420.26</v>
      </c>
    </row>
    <row r="313" spans="1:2" x14ac:dyDescent="0.3">
      <c r="A313" s="60">
        <v>44187</v>
      </c>
      <c r="B313">
        <v>3442.41</v>
      </c>
    </row>
    <row r="314" spans="1:2" x14ac:dyDescent="0.3">
      <c r="A314" s="60">
        <v>44188</v>
      </c>
      <c r="B314">
        <v>3444.9</v>
      </c>
    </row>
    <row r="315" spans="1:2" x14ac:dyDescent="0.3">
      <c r="A315" s="60">
        <v>44189</v>
      </c>
      <c r="B315">
        <v>3482.51</v>
      </c>
    </row>
    <row r="316" spans="1:2" x14ac:dyDescent="0.3">
      <c r="A316" s="60">
        <v>44190</v>
      </c>
      <c r="B316">
        <v>3493.77</v>
      </c>
    </row>
    <row r="317" spans="1:2" x14ac:dyDescent="0.3">
      <c r="A317" s="60">
        <v>44191</v>
      </c>
      <c r="B317">
        <v>3493.77</v>
      </c>
    </row>
    <row r="318" spans="1:2" x14ac:dyDescent="0.3">
      <c r="A318" s="60">
        <v>44192</v>
      </c>
      <c r="B318">
        <v>3493.77</v>
      </c>
    </row>
    <row r="319" spans="1:2" x14ac:dyDescent="0.3">
      <c r="A319" s="60">
        <v>44193</v>
      </c>
      <c r="B319">
        <v>3493.77</v>
      </c>
    </row>
    <row r="320" spans="1:2" x14ac:dyDescent="0.3">
      <c r="A320" s="60">
        <v>44194</v>
      </c>
      <c r="B320">
        <v>3495.39</v>
      </c>
    </row>
    <row r="321" spans="1:2" x14ac:dyDescent="0.3">
      <c r="A321" s="60">
        <v>44195</v>
      </c>
      <c r="B321">
        <v>3482.1</v>
      </c>
    </row>
    <row r="322" spans="1:2" x14ac:dyDescent="0.3">
      <c r="A322" s="60">
        <v>44196</v>
      </c>
      <c r="B322">
        <v>3432.5</v>
      </c>
    </row>
    <row r="323" spans="1:2" x14ac:dyDescent="0.3">
      <c r="A323" s="60">
        <v>44197</v>
      </c>
      <c r="B323">
        <v>3432.5</v>
      </c>
    </row>
    <row r="324" spans="1:2" x14ac:dyDescent="0.3">
      <c r="A324" s="60">
        <v>44198</v>
      </c>
      <c r="B324">
        <v>3432.5</v>
      </c>
    </row>
    <row r="325" spans="1:2" x14ac:dyDescent="0.3">
      <c r="A325" s="60">
        <v>44199</v>
      </c>
      <c r="B325">
        <v>3432.5</v>
      </c>
    </row>
    <row r="326" spans="1:2" x14ac:dyDescent="0.3">
      <c r="A326" s="60">
        <v>44200</v>
      </c>
      <c r="B326">
        <v>3432.5</v>
      </c>
    </row>
    <row r="327" spans="1:2" x14ac:dyDescent="0.3">
      <c r="A327" s="60">
        <v>44201</v>
      </c>
      <c r="B327">
        <v>3420.78</v>
      </c>
    </row>
    <row r="328" spans="1:2" x14ac:dyDescent="0.3">
      <c r="A328" s="60">
        <v>44202</v>
      </c>
      <c r="B328">
        <v>3450.74</v>
      </c>
    </row>
    <row r="329" spans="1:2" x14ac:dyDescent="0.3">
      <c r="A329" s="60">
        <v>44203</v>
      </c>
      <c r="B329">
        <v>3428.04</v>
      </c>
    </row>
    <row r="330" spans="1:2" x14ac:dyDescent="0.3">
      <c r="A330" s="60">
        <v>44204</v>
      </c>
      <c r="B330">
        <v>3459.39</v>
      </c>
    </row>
    <row r="331" spans="1:2" x14ac:dyDescent="0.3">
      <c r="A331" s="60">
        <v>44205</v>
      </c>
      <c r="B331">
        <v>3478.11</v>
      </c>
    </row>
    <row r="332" spans="1:2" x14ac:dyDescent="0.3">
      <c r="A332" s="60">
        <v>44206</v>
      </c>
      <c r="B332">
        <v>3478.11</v>
      </c>
    </row>
    <row r="333" spans="1:2" x14ac:dyDescent="0.3">
      <c r="A333" s="60">
        <v>44207</v>
      </c>
      <c r="B333">
        <v>3478.11</v>
      </c>
    </row>
    <row r="334" spans="1:2" x14ac:dyDescent="0.3">
      <c r="A334" s="60">
        <v>44208</v>
      </c>
      <c r="B334">
        <v>3478.11</v>
      </c>
    </row>
    <row r="335" spans="1:2" x14ac:dyDescent="0.3">
      <c r="A335" s="60">
        <v>44209</v>
      </c>
      <c r="B335">
        <v>3487.65</v>
      </c>
    </row>
    <row r="336" spans="1:2" x14ac:dyDescent="0.3">
      <c r="A336" s="60">
        <v>44210</v>
      </c>
      <c r="B336">
        <v>3478.36</v>
      </c>
    </row>
    <row r="337" spans="1:2" x14ac:dyDescent="0.3">
      <c r="A337" s="60">
        <v>44211</v>
      </c>
      <c r="B337">
        <v>3469.76</v>
      </c>
    </row>
    <row r="338" spans="1:2" x14ac:dyDescent="0.3">
      <c r="A338" s="60">
        <v>44212</v>
      </c>
      <c r="B338">
        <v>3466.8</v>
      </c>
    </row>
    <row r="339" spans="1:2" x14ac:dyDescent="0.3">
      <c r="A339" s="60">
        <v>44213</v>
      </c>
      <c r="B339">
        <v>3466.8</v>
      </c>
    </row>
    <row r="340" spans="1:2" x14ac:dyDescent="0.3">
      <c r="A340" s="60">
        <v>44214</v>
      </c>
      <c r="B340">
        <v>3466.8</v>
      </c>
    </row>
    <row r="341" spans="1:2" x14ac:dyDescent="0.3">
      <c r="A341" s="60">
        <v>44215</v>
      </c>
      <c r="B341">
        <v>3466.8</v>
      </c>
    </row>
    <row r="342" spans="1:2" x14ac:dyDescent="0.3">
      <c r="A342" s="60">
        <v>44216</v>
      </c>
      <c r="B342">
        <v>3482.03</v>
      </c>
    </row>
    <row r="343" spans="1:2" x14ac:dyDescent="0.3">
      <c r="A343" s="60">
        <v>44217</v>
      </c>
      <c r="B343">
        <v>3476.19</v>
      </c>
    </row>
    <row r="344" spans="1:2" x14ac:dyDescent="0.3">
      <c r="A344" s="60">
        <v>44218</v>
      </c>
      <c r="B344">
        <v>3477.48</v>
      </c>
    </row>
    <row r="345" spans="1:2" x14ac:dyDescent="0.3">
      <c r="A345" s="60">
        <v>44219</v>
      </c>
      <c r="B345">
        <v>3525.25</v>
      </c>
    </row>
    <row r="346" spans="1:2" x14ac:dyDescent="0.3">
      <c r="A346" s="60">
        <v>44220</v>
      </c>
      <c r="B346">
        <v>3525.25</v>
      </c>
    </row>
    <row r="347" spans="1:2" x14ac:dyDescent="0.3">
      <c r="A347" s="60">
        <v>44221</v>
      </c>
      <c r="B347">
        <v>3525.25</v>
      </c>
    </row>
    <row r="348" spans="1:2" x14ac:dyDescent="0.3">
      <c r="A348" s="60">
        <v>44222</v>
      </c>
      <c r="B348">
        <v>3582.41</v>
      </c>
    </row>
    <row r="349" spans="1:2" x14ac:dyDescent="0.3">
      <c r="A349" s="60">
        <v>44223</v>
      </c>
      <c r="B349">
        <v>3591.48</v>
      </c>
    </row>
    <row r="350" spans="1:2" x14ac:dyDescent="0.3">
      <c r="A350" s="60">
        <v>44224</v>
      </c>
      <c r="B350">
        <v>3636.91</v>
      </c>
    </row>
    <row r="351" spans="1:2" x14ac:dyDescent="0.3">
      <c r="A351" s="60">
        <v>44225</v>
      </c>
      <c r="B351">
        <v>3585.44</v>
      </c>
    </row>
    <row r="352" spans="1:2" x14ac:dyDescent="0.3">
      <c r="A352" s="60">
        <v>44226</v>
      </c>
      <c r="B352">
        <v>3559.46</v>
      </c>
    </row>
    <row r="353" spans="1:2" x14ac:dyDescent="0.3">
      <c r="A353" s="60">
        <v>44227</v>
      </c>
      <c r="B353">
        <v>3559.46</v>
      </c>
    </row>
    <row r="354" spans="1:2" x14ac:dyDescent="0.3">
      <c r="A354" s="60">
        <v>44228</v>
      </c>
      <c r="B354">
        <v>3559.46</v>
      </c>
    </row>
    <row r="355" spans="1:2" x14ac:dyDescent="0.3">
      <c r="A355" s="60">
        <v>44229</v>
      </c>
      <c r="B355">
        <v>3561.37</v>
      </c>
    </row>
    <row r="356" spans="1:2" x14ac:dyDescent="0.3">
      <c r="A356" s="60">
        <v>44230</v>
      </c>
      <c r="B356">
        <v>3534.99</v>
      </c>
    </row>
    <row r="357" spans="1:2" x14ac:dyDescent="0.3">
      <c r="A357" s="60">
        <v>44231</v>
      </c>
      <c r="B357">
        <v>3522.57</v>
      </c>
    </row>
    <row r="358" spans="1:2" x14ac:dyDescent="0.3">
      <c r="A358" s="60">
        <v>44232</v>
      </c>
      <c r="B358">
        <v>3558.63</v>
      </c>
    </row>
    <row r="359" spans="1:2" x14ac:dyDescent="0.3">
      <c r="A359" s="60">
        <v>44233</v>
      </c>
      <c r="B359">
        <v>3543.28</v>
      </c>
    </row>
    <row r="360" spans="1:2" x14ac:dyDescent="0.3">
      <c r="A360" s="60">
        <v>44234</v>
      </c>
      <c r="B360">
        <v>3543.28</v>
      </c>
    </row>
    <row r="361" spans="1:2" x14ac:dyDescent="0.3">
      <c r="A361" s="60">
        <v>44235</v>
      </c>
      <c r="B361">
        <v>3543.28</v>
      </c>
    </row>
    <row r="362" spans="1:2" x14ac:dyDescent="0.3">
      <c r="A362" s="60">
        <v>44236</v>
      </c>
      <c r="B362">
        <v>3554.65</v>
      </c>
    </row>
    <row r="363" spans="1:2" x14ac:dyDescent="0.3">
      <c r="A363" s="60">
        <v>44237</v>
      </c>
      <c r="B363">
        <v>3583.23</v>
      </c>
    </row>
    <row r="364" spans="1:2" x14ac:dyDescent="0.3">
      <c r="A364" s="60">
        <v>44238</v>
      </c>
      <c r="B364">
        <v>3557.16</v>
      </c>
    </row>
    <row r="365" spans="1:2" x14ac:dyDescent="0.3">
      <c r="A365" s="60">
        <v>44239</v>
      </c>
      <c r="B365">
        <v>3525.45</v>
      </c>
    </row>
    <row r="366" spans="1:2" x14ac:dyDescent="0.3">
      <c r="A366" s="60">
        <v>44240</v>
      </c>
      <c r="B366">
        <v>3515.65</v>
      </c>
    </row>
    <row r="367" spans="1:2" x14ac:dyDescent="0.3">
      <c r="A367" s="60">
        <v>44241</v>
      </c>
      <c r="B367">
        <v>3515.65</v>
      </c>
    </row>
    <row r="368" spans="1:2" x14ac:dyDescent="0.3">
      <c r="A368" s="60">
        <v>44242</v>
      </c>
      <c r="B368">
        <v>3515.65</v>
      </c>
    </row>
    <row r="369" spans="1:2" x14ac:dyDescent="0.3">
      <c r="A369" s="63"/>
      <c r="B369">
        <v>3713.4486376021769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371"/>
  <sheetViews>
    <sheetView workbookViewId="0">
      <selection activeCell="O6" sqref="O6"/>
    </sheetView>
  </sheetViews>
  <sheetFormatPr defaultRowHeight="14.4" x14ac:dyDescent="0.3"/>
  <cols>
    <col min="1" max="1" width="10.88671875" bestFit="1" customWidth="1"/>
    <col min="2" max="3" width="12" bestFit="1" customWidth="1"/>
    <col min="4" max="4" width="11" bestFit="1" customWidth="1"/>
    <col min="5" max="11" width="12" bestFit="1" customWidth="1"/>
    <col min="12" max="12" width="12" style="62" bestFit="1" customWidth="1"/>
  </cols>
  <sheetData>
    <row r="1" spans="1:12" x14ac:dyDescent="0.3">
      <c r="A1" s="14" t="s">
        <v>49</v>
      </c>
      <c r="B1" s="14" t="s">
        <v>26</v>
      </c>
      <c r="C1" s="14" t="s">
        <v>14</v>
      </c>
      <c r="D1" s="14" t="s">
        <v>12</v>
      </c>
      <c r="E1" s="14" t="s">
        <v>24</v>
      </c>
      <c r="F1" s="14" t="s">
        <v>35</v>
      </c>
      <c r="G1" s="14" t="s">
        <v>20</v>
      </c>
      <c r="H1" s="14" t="s">
        <v>22</v>
      </c>
      <c r="I1" s="14" t="s">
        <v>37</v>
      </c>
      <c r="J1" s="14" t="s">
        <v>18</v>
      </c>
      <c r="K1" s="14" t="s">
        <v>30</v>
      </c>
      <c r="L1" s="14" t="s">
        <v>39</v>
      </c>
    </row>
    <row r="2" spans="1:12" x14ac:dyDescent="0.3">
      <c r="A2" s="61">
        <v>43876</v>
      </c>
      <c r="B2" s="14">
        <v>1.627E-2</v>
      </c>
      <c r="C2" s="14">
        <v>0.67175000000000007</v>
      </c>
      <c r="D2" s="14">
        <v>0.230485</v>
      </c>
      <c r="E2" s="14">
        <v>0.75434500000000004</v>
      </c>
      <c r="F2" s="14">
        <v>1.2600000000000001E-3</v>
      </c>
      <c r="G2" s="14">
        <v>1.0845499999999999</v>
      </c>
      <c r="H2" s="14">
        <v>1.30145</v>
      </c>
      <c r="I2" s="14">
        <v>5.3874999999999999E-2</v>
      </c>
      <c r="J2" s="14">
        <v>0.1081</v>
      </c>
      <c r="K2" s="14">
        <v>0.29550500000000002</v>
      </c>
      <c r="L2" s="14">
        <v>2.6370000000000001E-2</v>
      </c>
    </row>
    <row r="3" spans="1:12" x14ac:dyDescent="0.3">
      <c r="A3" s="61">
        <v>43877</v>
      </c>
      <c r="B3" s="14">
        <v>1.627E-2</v>
      </c>
      <c r="C3" s="14">
        <v>0.67175000000000007</v>
      </c>
      <c r="D3" s="14">
        <v>0.230485</v>
      </c>
      <c r="E3" s="14">
        <v>0.75434500000000004</v>
      </c>
      <c r="F3" s="14">
        <v>1.2600000000000001E-3</v>
      </c>
      <c r="G3" s="14">
        <v>1.0845499999999999</v>
      </c>
      <c r="H3" s="14">
        <v>1.30145</v>
      </c>
      <c r="I3" s="14">
        <v>5.3874999999999999E-2</v>
      </c>
      <c r="J3" s="14">
        <v>0.1081</v>
      </c>
      <c r="K3" s="14">
        <v>0.29550500000000002</v>
      </c>
      <c r="L3" s="14">
        <v>2.6370000000000001E-2</v>
      </c>
    </row>
    <row r="4" spans="1:12" x14ac:dyDescent="0.3">
      <c r="A4" s="61">
        <v>43878</v>
      </c>
      <c r="B4" s="14">
        <v>1.6240000000000001E-2</v>
      </c>
      <c r="C4" s="14">
        <v>0.67144999999999999</v>
      </c>
      <c r="D4" s="14">
        <v>0.23169000000000001</v>
      </c>
      <c r="E4" s="14">
        <v>0.75533499999999998</v>
      </c>
      <c r="F4" s="14">
        <v>1.255E-3</v>
      </c>
      <c r="G4" s="14">
        <v>1.0830500000000001</v>
      </c>
      <c r="H4" s="14">
        <v>1.3007</v>
      </c>
      <c r="I4" s="14">
        <v>5.3815000000000002E-2</v>
      </c>
      <c r="J4" s="14">
        <v>0.108</v>
      </c>
      <c r="K4" s="14">
        <v>0.29567500000000002</v>
      </c>
      <c r="L4" s="14">
        <v>2.6384999999999999E-2</v>
      </c>
    </row>
    <row r="5" spans="1:12" x14ac:dyDescent="0.3">
      <c r="A5" s="61">
        <v>43879</v>
      </c>
      <c r="B5" s="14">
        <v>1.6209999999999999E-2</v>
      </c>
      <c r="C5" s="14">
        <v>0.66969999999999996</v>
      </c>
      <c r="D5" s="14">
        <v>0.23172499999999999</v>
      </c>
      <c r="E5" s="14">
        <v>0.75445499999999999</v>
      </c>
      <c r="F5" s="14">
        <v>1.25E-3</v>
      </c>
      <c r="G5" s="14">
        <v>1.0823</v>
      </c>
      <c r="H5" s="14">
        <v>1.30375</v>
      </c>
      <c r="I5" s="14">
        <v>5.3754999999999997E-2</v>
      </c>
      <c r="J5" s="14">
        <v>0.10745499999999999</v>
      </c>
      <c r="K5" s="14">
        <v>0.29567500000000002</v>
      </c>
      <c r="L5" s="14">
        <v>2.6365E-2</v>
      </c>
    </row>
    <row r="6" spans="1:12" x14ac:dyDescent="0.3">
      <c r="A6" s="61">
        <v>43880</v>
      </c>
      <c r="B6" s="14">
        <v>1.6199999999999999E-2</v>
      </c>
      <c r="C6" s="14">
        <v>0.66735</v>
      </c>
      <c r="D6" s="14">
        <v>0.23005</v>
      </c>
      <c r="E6" s="14">
        <v>0.75548499999999996</v>
      </c>
      <c r="F6" s="14">
        <v>1.25E-3</v>
      </c>
      <c r="G6" s="14">
        <v>1.07925</v>
      </c>
      <c r="H6" s="14">
        <v>1.29515</v>
      </c>
      <c r="I6" s="14">
        <v>5.3734999999999998E-2</v>
      </c>
      <c r="J6" s="14">
        <v>0.10775999999999999</v>
      </c>
      <c r="K6" s="14">
        <v>0.29567500000000002</v>
      </c>
      <c r="L6" s="14">
        <v>2.6275E-2</v>
      </c>
    </row>
    <row r="7" spans="1:12" x14ac:dyDescent="0.3">
      <c r="A7" s="61">
        <v>43881</v>
      </c>
      <c r="B7" s="14">
        <v>1.618E-2</v>
      </c>
      <c r="C7" s="14">
        <v>0.66274999999999995</v>
      </c>
      <c r="D7" s="14">
        <v>0.22869500000000001</v>
      </c>
      <c r="E7" s="14">
        <v>0.75570999999999999</v>
      </c>
      <c r="F7" s="14">
        <v>1.24E-3</v>
      </c>
      <c r="G7" s="14">
        <v>1.0803499999999999</v>
      </c>
      <c r="H7" s="14">
        <v>1.2879499999999999</v>
      </c>
      <c r="I7" s="14">
        <v>5.3214999999999998E-2</v>
      </c>
      <c r="J7" s="14">
        <v>0.10745499999999999</v>
      </c>
      <c r="K7" s="14">
        <v>0.29559000000000002</v>
      </c>
      <c r="L7" s="14">
        <v>2.6275E-2</v>
      </c>
    </row>
    <row r="8" spans="1:12" x14ac:dyDescent="0.3">
      <c r="A8" s="61">
        <v>43882</v>
      </c>
      <c r="B8" s="14">
        <v>1.617E-2</v>
      </c>
      <c r="C8" s="14">
        <v>0.66315000000000002</v>
      </c>
      <c r="D8" s="14">
        <v>0.22794500000000001</v>
      </c>
      <c r="E8" s="14">
        <v>0.75619499999999995</v>
      </c>
      <c r="F8" s="14">
        <v>1.23E-3</v>
      </c>
      <c r="G8" s="14">
        <v>1.0851999999999999</v>
      </c>
      <c r="H8" s="14">
        <v>1.2959000000000001</v>
      </c>
      <c r="I8" s="14">
        <v>5.2815000000000001E-2</v>
      </c>
      <c r="J8" s="14">
        <v>0.107625</v>
      </c>
      <c r="K8" s="14">
        <v>0.29493999999999998</v>
      </c>
      <c r="L8" s="14">
        <v>2.6100000000000002E-2</v>
      </c>
    </row>
    <row r="9" spans="1:12" x14ac:dyDescent="0.3">
      <c r="A9" s="61">
        <v>43883</v>
      </c>
      <c r="B9" s="14">
        <v>1.617E-2</v>
      </c>
      <c r="C9" s="14">
        <v>0.66315000000000002</v>
      </c>
      <c r="D9" s="14">
        <v>0.22794500000000001</v>
      </c>
      <c r="E9" s="14">
        <v>0.75619499999999995</v>
      </c>
      <c r="F9" s="14">
        <v>1.23E-3</v>
      </c>
      <c r="G9" s="14">
        <v>1.0851999999999999</v>
      </c>
      <c r="H9" s="14">
        <v>1.2959000000000001</v>
      </c>
      <c r="I9" s="14">
        <v>5.2815000000000001E-2</v>
      </c>
      <c r="J9" s="14">
        <v>0.107625</v>
      </c>
      <c r="K9" s="14">
        <v>0.29493999999999998</v>
      </c>
      <c r="L9" s="14">
        <v>2.6100000000000002E-2</v>
      </c>
    </row>
    <row r="10" spans="1:12" x14ac:dyDescent="0.3">
      <c r="A10" s="61">
        <v>43884</v>
      </c>
      <c r="B10" s="14">
        <v>1.617E-2</v>
      </c>
      <c r="C10" s="14">
        <v>0.66315000000000002</v>
      </c>
      <c r="D10" s="14">
        <v>0.22794500000000001</v>
      </c>
      <c r="E10" s="14">
        <v>0.75619499999999995</v>
      </c>
      <c r="F10" s="14">
        <v>1.23E-3</v>
      </c>
      <c r="G10" s="14">
        <v>1.0851999999999999</v>
      </c>
      <c r="H10" s="14">
        <v>1.2959000000000001</v>
      </c>
      <c r="I10" s="14">
        <v>5.2815000000000001E-2</v>
      </c>
      <c r="J10" s="14">
        <v>0.107625</v>
      </c>
      <c r="K10" s="14">
        <v>0.29493999999999998</v>
      </c>
      <c r="L10" s="14">
        <v>2.6100000000000002E-2</v>
      </c>
    </row>
    <row r="11" spans="1:12" x14ac:dyDescent="0.3">
      <c r="A11" s="61">
        <v>43885</v>
      </c>
      <c r="B11" s="14">
        <v>1.618E-2</v>
      </c>
      <c r="C11" s="14">
        <v>0.66175000000000006</v>
      </c>
      <c r="D11" s="14">
        <v>0.22767499999999999</v>
      </c>
      <c r="E11" s="14">
        <v>0.75365499999999996</v>
      </c>
      <c r="F11" s="14">
        <v>1.23E-3</v>
      </c>
      <c r="G11" s="14">
        <v>1.08565</v>
      </c>
      <c r="H11" s="14">
        <v>1.2925</v>
      </c>
      <c r="I11" s="14">
        <v>5.2275000000000002E-2</v>
      </c>
      <c r="J11" s="14">
        <v>0.10717</v>
      </c>
      <c r="K11" s="14">
        <v>0.29476000000000002</v>
      </c>
      <c r="L11" s="14">
        <v>2.6085000000000001E-2</v>
      </c>
    </row>
    <row r="12" spans="1:12" x14ac:dyDescent="0.3">
      <c r="A12" s="61">
        <v>43886</v>
      </c>
      <c r="B12" s="14">
        <v>1.619E-2</v>
      </c>
      <c r="C12" s="14">
        <v>0.66049999999999998</v>
      </c>
      <c r="D12" s="14">
        <v>0.22767499999999999</v>
      </c>
      <c r="E12" s="14">
        <v>0.752695</v>
      </c>
      <c r="F12" s="14">
        <v>1.23E-3</v>
      </c>
      <c r="G12" s="14">
        <v>1.0864499999999999</v>
      </c>
      <c r="H12" s="14">
        <v>1.3016000000000001</v>
      </c>
      <c r="I12" s="14">
        <v>5.2315E-2</v>
      </c>
      <c r="J12" s="14">
        <v>0.106585</v>
      </c>
      <c r="K12" s="14">
        <v>0.29389999999999999</v>
      </c>
      <c r="L12" s="14">
        <v>2.6085000000000001E-2</v>
      </c>
    </row>
    <row r="13" spans="1:12" x14ac:dyDescent="0.3">
      <c r="A13" s="61">
        <v>43887</v>
      </c>
      <c r="B13" s="14">
        <v>1.61E-2</v>
      </c>
      <c r="C13" s="14">
        <v>0.65534999999999999</v>
      </c>
      <c r="D13" s="14">
        <v>0.22767499999999999</v>
      </c>
      <c r="E13" s="14">
        <v>0.75173500000000004</v>
      </c>
      <c r="F13" s="14">
        <v>1.23E-3</v>
      </c>
      <c r="G13" s="14">
        <v>1.0865499999999999</v>
      </c>
      <c r="H13" s="14">
        <v>1.29165</v>
      </c>
      <c r="I13" s="14">
        <v>5.2255000000000003E-2</v>
      </c>
      <c r="J13" s="14">
        <v>0.10641</v>
      </c>
      <c r="K13" s="14">
        <v>0.29381000000000002</v>
      </c>
      <c r="L13" s="14">
        <v>2.597E-2</v>
      </c>
    </row>
    <row r="14" spans="1:12" x14ac:dyDescent="0.3">
      <c r="A14" s="61">
        <v>43888</v>
      </c>
      <c r="B14" s="14">
        <v>1.609E-2</v>
      </c>
      <c r="C14" s="14">
        <v>0.65765000000000007</v>
      </c>
      <c r="D14" s="14">
        <v>0.22544500000000001</v>
      </c>
      <c r="E14" s="14">
        <v>0.748695</v>
      </c>
      <c r="F14" s="14">
        <v>1.2199999999999999E-3</v>
      </c>
      <c r="G14" s="14">
        <v>1.0986</v>
      </c>
      <c r="H14" s="14">
        <v>1.28735</v>
      </c>
      <c r="I14" s="14">
        <v>5.1464999999999997E-2</v>
      </c>
      <c r="J14" s="14">
        <v>0.10638499999999999</v>
      </c>
      <c r="K14" s="14">
        <v>0.29321000000000003</v>
      </c>
      <c r="L14" s="14">
        <v>2.562E-2</v>
      </c>
    </row>
    <row r="15" spans="1:12" x14ac:dyDescent="0.3">
      <c r="A15" s="61">
        <v>43889</v>
      </c>
      <c r="B15" s="14">
        <v>1.6070000000000001E-2</v>
      </c>
      <c r="C15" s="14">
        <v>0.64474999999999993</v>
      </c>
      <c r="D15" s="14">
        <v>0.22340499999999999</v>
      </c>
      <c r="E15" s="14">
        <v>0.74495500000000003</v>
      </c>
      <c r="F15" s="14">
        <v>1.2099999999999999E-3</v>
      </c>
      <c r="G15" s="14">
        <v>1.0984499999999999</v>
      </c>
      <c r="H15" s="14">
        <v>1.2773000000000001</v>
      </c>
      <c r="I15" s="14">
        <v>5.0509999999999999E-2</v>
      </c>
      <c r="J15" s="14">
        <v>0.10557</v>
      </c>
      <c r="K15" s="14">
        <v>0.29171000000000002</v>
      </c>
      <c r="L15" s="14">
        <v>2.554E-2</v>
      </c>
    </row>
    <row r="16" spans="1:12" x14ac:dyDescent="0.3">
      <c r="A16" s="61">
        <v>43890</v>
      </c>
      <c r="B16" s="14">
        <v>1.6070000000000001E-2</v>
      </c>
      <c r="C16" s="14">
        <v>0.64474999999999993</v>
      </c>
      <c r="D16" s="14">
        <v>0.22340499999999999</v>
      </c>
      <c r="E16" s="14">
        <v>0.74495500000000003</v>
      </c>
      <c r="F16" s="14">
        <v>1.2099999999999999E-3</v>
      </c>
      <c r="G16" s="14">
        <v>1.0984499999999999</v>
      </c>
      <c r="H16" s="14">
        <v>1.2773000000000001</v>
      </c>
      <c r="I16" s="14">
        <v>5.0509999999999999E-2</v>
      </c>
      <c r="J16" s="14">
        <v>0.10557</v>
      </c>
      <c r="K16" s="14">
        <v>0.29171000000000002</v>
      </c>
      <c r="L16" s="14">
        <v>2.554E-2</v>
      </c>
    </row>
    <row r="17" spans="1:12" x14ac:dyDescent="0.3">
      <c r="A17" s="61">
        <v>43891</v>
      </c>
      <c r="B17" s="14">
        <v>1.6070000000000001E-2</v>
      </c>
      <c r="C17" s="14">
        <v>0.64474999999999993</v>
      </c>
      <c r="D17" s="14">
        <v>0.22340499999999999</v>
      </c>
      <c r="E17" s="14">
        <v>0.74495500000000003</v>
      </c>
      <c r="F17" s="14">
        <v>1.2099999999999999E-3</v>
      </c>
      <c r="G17" s="14">
        <v>1.0984499999999999</v>
      </c>
      <c r="H17" s="14">
        <v>1.2773000000000001</v>
      </c>
      <c r="I17" s="14">
        <v>5.0509999999999999E-2</v>
      </c>
      <c r="J17" s="14">
        <v>0.10557</v>
      </c>
      <c r="K17" s="14">
        <v>0.29171000000000002</v>
      </c>
      <c r="L17" s="14">
        <v>2.554E-2</v>
      </c>
    </row>
    <row r="18" spans="1:12" x14ac:dyDescent="0.3">
      <c r="A18" s="61">
        <v>43892</v>
      </c>
      <c r="B18" s="14">
        <v>1.6060000000000001E-2</v>
      </c>
      <c r="C18" s="14">
        <v>0.65159999999999996</v>
      </c>
      <c r="D18" s="14">
        <v>0.22229499999999999</v>
      </c>
      <c r="E18" s="14">
        <v>0.74699000000000004</v>
      </c>
      <c r="F18" s="14">
        <v>1.2199999999999999E-3</v>
      </c>
      <c r="G18" s="14">
        <v>1.1131500000000001</v>
      </c>
      <c r="H18" s="14">
        <v>1.2746</v>
      </c>
      <c r="I18" s="14">
        <v>5.0634999999999999E-2</v>
      </c>
      <c r="J18" s="14">
        <v>0.10693999999999999</v>
      </c>
      <c r="K18" s="14">
        <v>0.28989500000000001</v>
      </c>
      <c r="L18" s="14">
        <v>2.5524999999999999E-2</v>
      </c>
    </row>
    <row r="19" spans="1:12" x14ac:dyDescent="0.3">
      <c r="A19" s="61">
        <v>43893</v>
      </c>
      <c r="B19" s="14">
        <v>1.6045E-2</v>
      </c>
      <c r="C19" s="14">
        <v>0.66215000000000002</v>
      </c>
      <c r="D19" s="14">
        <v>0.222495</v>
      </c>
      <c r="E19" s="14">
        <v>0.74976500000000001</v>
      </c>
      <c r="F19" s="14">
        <v>1.24E-3</v>
      </c>
      <c r="G19" s="14">
        <v>1.1177999999999999</v>
      </c>
      <c r="H19" s="14">
        <v>1.2817000000000001</v>
      </c>
      <c r="I19" s="14">
        <v>5.2005000000000003E-2</v>
      </c>
      <c r="J19" s="14">
        <v>0.10849</v>
      </c>
      <c r="K19" s="14">
        <v>0.29043999999999998</v>
      </c>
      <c r="L19" s="14">
        <v>2.528E-2</v>
      </c>
    </row>
    <row r="20" spans="1:12" x14ac:dyDescent="0.3">
      <c r="A20" s="61">
        <v>43894</v>
      </c>
      <c r="B20" s="14">
        <v>1.6029999999999999E-2</v>
      </c>
      <c r="C20" s="14">
        <v>0.66225000000000001</v>
      </c>
      <c r="D20" s="14">
        <v>0.22281500000000001</v>
      </c>
      <c r="E20" s="14">
        <v>0.74653999999999998</v>
      </c>
      <c r="F20" s="14">
        <v>1.2199999999999999E-3</v>
      </c>
      <c r="G20" s="14">
        <v>1.1141000000000001</v>
      </c>
      <c r="H20" s="14">
        <v>1.2818000000000001</v>
      </c>
      <c r="I20" s="14">
        <v>5.1315E-2</v>
      </c>
      <c r="J20" s="14">
        <v>0.108025</v>
      </c>
      <c r="K20" s="14">
        <v>0.29183999999999999</v>
      </c>
      <c r="L20" s="14">
        <v>2.4944999999999998E-2</v>
      </c>
    </row>
    <row r="21" spans="1:12" x14ac:dyDescent="0.3">
      <c r="A21" s="61">
        <v>43895</v>
      </c>
      <c r="B21" s="14">
        <v>1.602E-2</v>
      </c>
      <c r="C21" s="14">
        <v>0.66049999999999998</v>
      </c>
      <c r="D21" s="14">
        <v>0.22096499999999999</v>
      </c>
      <c r="E21" s="14">
        <v>0.74626499999999996</v>
      </c>
      <c r="F21" s="14">
        <v>1.2099999999999999E-3</v>
      </c>
      <c r="G21" s="14">
        <v>1.1189</v>
      </c>
      <c r="H21" s="14">
        <v>1.2922</v>
      </c>
      <c r="I21" s="14">
        <v>5.0555000000000003E-2</v>
      </c>
      <c r="J21" s="14">
        <v>0.107725</v>
      </c>
      <c r="K21" s="14">
        <v>0.29218</v>
      </c>
      <c r="L21" s="14">
        <v>2.4905E-2</v>
      </c>
    </row>
    <row r="22" spans="1:12" x14ac:dyDescent="0.3">
      <c r="A22" s="61">
        <v>43896</v>
      </c>
      <c r="B22" s="14">
        <v>1.6E-2</v>
      </c>
      <c r="C22" s="14">
        <v>0.66294999999999993</v>
      </c>
      <c r="D22" s="14">
        <v>0.21642500000000001</v>
      </c>
      <c r="E22" s="14">
        <v>0.74470999999999998</v>
      </c>
      <c r="F22" s="14">
        <v>1.2099999999999999E-3</v>
      </c>
      <c r="G22" s="14">
        <v>1.1310500000000001</v>
      </c>
      <c r="H22" s="14">
        <v>1.30335</v>
      </c>
      <c r="I22" s="14">
        <v>4.9759999999999999E-2</v>
      </c>
      <c r="J22" s="14">
        <v>0.10798000000000001</v>
      </c>
      <c r="K22" s="14">
        <v>0.29077500000000001</v>
      </c>
      <c r="L22" s="14">
        <v>2.4029999999999999E-2</v>
      </c>
    </row>
    <row r="23" spans="1:12" x14ac:dyDescent="0.3">
      <c r="A23" s="61">
        <v>43897</v>
      </c>
      <c r="B23" s="14">
        <v>1.6E-2</v>
      </c>
      <c r="C23" s="14">
        <v>0.66294999999999993</v>
      </c>
      <c r="D23" s="14">
        <v>0.21642500000000001</v>
      </c>
      <c r="E23" s="14">
        <v>0.74470999999999998</v>
      </c>
      <c r="F23" s="14">
        <v>1.2099999999999999E-3</v>
      </c>
      <c r="G23" s="14">
        <v>1.1310500000000001</v>
      </c>
      <c r="H23" s="14">
        <v>1.30335</v>
      </c>
      <c r="I23" s="14">
        <v>4.9759999999999999E-2</v>
      </c>
      <c r="J23" s="14">
        <v>0.10798000000000001</v>
      </c>
      <c r="K23" s="14">
        <v>0.29077500000000001</v>
      </c>
      <c r="L23" s="14">
        <v>2.4029999999999999E-2</v>
      </c>
    </row>
    <row r="24" spans="1:12" x14ac:dyDescent="0.3">
      <c r="A24" s="61">
        <v>43898</v>
      </c>
      <c r="B24" s="14">
        <v>1.6E-2</v>
      </c>
      <c r="C24" s="14">
        <v>0.66294999999999993</v>
      </c>
      <c r="D24" s="14">
        <v>0.21642500000000001</v>
      </c>
      <c r="E24" s="14">
        <v>0.74470999999999998</v>
      </c>
      <c r="F24" s="14">
        <v>1.2099999999999999E-3</v>
      </c>
      <c r="G24" s="14">
        <v>1.1310500000000001</v>
      </c>
      <c r="H24" s="14">
        <v>1.30335</v>
      </c>
      <c r="I24" s="14">
        <v>4.9759999999999999E-2</v>
      </c>
      <c r="J24" s="14">
        <v>0.10798000000000001</v>
      </c>
      <c r="K24" s="14">
        <v>0.29077500000000001</v>
      </c>
      <c r="L24" s="14">
        <v>2.4029999999999999E-2</v>
      </c>
    </row>
    <row r="25" spans="1:12" x14ac:dyDescent="0.3">
      <c r="A25" s="61">
        <v>43899</v>
      </c>
      <c r="B25" s="14">
        <v>1.5990000000000001E-2</v>
      </c>
      <c r="C25" s="14">
        <v>0.66564999999999996</v>
      </c>
      <c r="D25" s="14">
        <v>0.215255</v>
      </c>
      <c r="E25" s="14">
        <v>0.73930999999999991</v>
      </c>
      <c r="F25" s="14">
        <v>1.1800000000000001E-3</v>
      </c>
      <c r="G25" s="14">
        <v>1.14185</v>
      </c>
      <c r="H25" s="14">
        <v>1.3103</v>
      </c>
      <c r="I25" s="14">
        <v>4.7780000000000003E-2</v>
      </c>
      <c r="J25" s="14">
        <v>0.105625</v>
      </c>
      <c r="K25" s="14">
        <v>0.28805500000000001</v>
      </c>
      <c r="L25" s="14">
        <v>2.4105000000000001E-2</v>
      </c>
    </row>
    <row r="26" spans="1:12" x14ac:dyDescent="0.3">
      <c r="A26" s="61">
        <v>43900</v>
      </c>
      <c r="B26" s="14">
        <v>1.5970000000000002E-2</v>
      </c>
      <c r="C26" s="14">
        <v>0.64775000000000005</v>
      </c>
      <c r="D26" s="14">
        <v>0.21107500000000001</v>
      </c>
      <c r="E26" s="14">
        <v>0.726105</v>
      </c>
      <c r="F26" s="14">
        <v>1.1900000000000001E-3</v>
      </c>
      <c r="G26" s="14">
        <v>1.13445</v>
      </c>
      <c r="H26" s="14">
        <v>1.2938499999999999</v>
      </c>
      <c r="I26" s="14">
        <v>4.7550000000000002E-2</v>
      </c>
      <c r="J26" s="14">
        <v>0.104155</v>
      </c>
      <c r="K26" s="14">
        <v>0.28566999999999998</v>
      </c>
      <c r="L26" s="14">
        <v>2.333E-2</v>
      </c>
    </row>
    <row r="27" spans="1:12" x14ac:dyDescent="0.3">
      <c r="A27" s="61">
        <v>43901</v>
      </c>
      <c r="B27" s="14">
        <v>1.5949999999999999E-2</v>
      </c>
      <c r="C27" s="14">
        <v>0.65090000000000003</v>
      </c>
      <c r="D27" s="14">
        <v>0.214175</v>
      </c>
      <c r="E27" s="14">
        <v>0.72734999999999994</v>
      </c>
      <c r="F27" s="14">
        <v>1.1900000000000001E-3</v>
      </c>
      <c r="G27" s="14">
        <v>1.12775</v>
      </c>
      <c r="H27" s="14">
        <v>1.2885</v>
      </c>
      <c r="I27" s="14">
        <v>4.7155000000000002E-2</v>
      </c>
      <c r="J27" s="14">
        <v>0.103895</v>
      </c>
      <c r="K27" s="14">
        <v>0.28603499999999998</v>
      </c>
      <c r="L27" s="14">
        <v>2.3115E-2</v>
      </c>
    </row>
    <row r="28" spans="1:12" x14ac:dyDescent="0.3">
      <c r="A28" s="61">
        <v>43902</v>
      </c>
      <c r="B28" s="14">
        <v>1.5910000000000001E-2</v>
      </c>
      <c r="C28" s="14">
        <v>0.62795000000000001</v>
      </c>
      <c r="D28" s="14">
        <v>0.21396499999999999</v>
      </c>
      <c r="E28" s="14">
        <v>0.72089999999999999</v>
      </c>
      <c r="F28" s="14">
        <v>1.17E-3</v>
      </c>
      <c r="G28" s="14">
        <v>1.10815</v>
      </c>
      <c r="H28" s="14">
        <v>1.2541500000000001</v>
      </c>
      <c r="I28" s="14">
        <v>4.4749999999999998E-2</v>
      </c>
      <c r="J28" s="14">
        <v>9.8040000000000002E-2</v>
      </c>
      <c r="K28" s="14">
        <v>0.28502</v>
      </c>
      <c r="L28" s="14">
        <v>2.2970000000000001E-2</v>
      </c>
    </row>
    <row r="29" spans="1:12" x14ac:dyDescent="0.3">
      <c r="A29" s="61">
        <v>43903</v>
      </c>
      <c r="B29" s="14">
        <v>1.592E-2</v>
      </c>
      <c r="C29" s="14">
        <v>0.61535000000000006</v>
      </c>
      <c r="D29" s="14">
        <v>0.20479</v>
      </c>
      <c r="E29" s="14">
        <v>0.71489500000000006</v>
      </c>
      <c r="F29" s="14">
        <v>1.1900000000000001E-3</v>
      </c>
      <c r="G29" s="14">
        <v>1.1069</v>
      </c>
      <c r="H29" s="14">
        <v>1.2401</v>
      </c>
      <c r="I29" s="14">
        <v>4.5635000000000002E-2</v>
      </c>
      <c r="J29" s="14">
        <v>9.9114999999999995E-2</v>
      </c>
      <c r="K29" s="14">
        <v>0.28216000000000002</v>
      </c>
      <c r="L29" s="14">
        <v>2.2380000000000001E-2</v>
      </c>
    </row>
    <row r="30" spans="1:12" x14ac:dyDescent="0.3">
      <c r="A30" s="61">
        <v>43904</v>
      </c>
      <c r="B30" s="14">
        <v>1.592E-2</v>
      </c>
      <c r="C30" s="14">
        <v>0.61535000000000006</v>
      </c>
      <c r="D30" s="14">
        <v>0.20479</v>
      </c>
      <c r="E30" s="14">
        <v>0.71489500000000006</v>
      </c>
      <c r="F30" s="14">
        <v>1.1900000000000001E-3</v>
      </c>
      <c r="G30" s="14">
        <v>1.1069</v>
      </c>
      <c r="H30" s="14">
        <v>1.2401</v>
      </c>
      <c r="I30" s="14">
        <v>4.5635000000000002E-2</v>
      </c>
      <c r="J30" s="14">
        <v>9.9114999999999995E-2</v>
      </c>
      <c r="K30" s="14">
        <v>0.28216000000000002</v>
      </c>
      <c r="L30" s="14">
        <v>2.2380000000000001E-2</v>
      </c>
    </row>
    <row r="31" spans="1:12" x14ac:dyDescent="0.3">
      <c r="A31" s="61">
        <v>43905</v>
      </c>
      <c r="B31" s="14">
        <v>1.592E-2</v>
      </c>
      <c r="C31" s="14">
        <v>0.61535000000000006</v>
      </c>
      <c r="D31" s="14">
        <v>0.20479</v>
      </c>
      <c r="E31" s="14">
        <v>0.71489500000000006</v>
      </c>
      <c r="F31" s="14">
        <v>1.1900000000000001E-3</v>
      </c>
      <c r="G31" s="14">
        <v>1.1069</v>
      </c>
      <c r="H31" s="14">
        <v>1.2401</v>
      </c>
      <c r="I31" s="14">
        <v>4.5635000000000002E-2</v>
      </c>
      <c r="J31" s="14">
        <v>9.9114999999999995E-2</v>
      </c>
      <c r="K31" s="14">
        <v>0.28216000000000002</v>
      </c>
      <c r="L31" s="14">
        <v>2.2380000000000001E-2</v>
      </c>
    </row>
    <row r="32" spans="1:12" x14ac:dyDescent="0.3">
      <c r="A32" s="61">
        <v>43906</v>
      </c>
      <c r="B32" s="14">
        <v>1.5865000000000001E-2</v>
      </c>
      <c r="C32" s="14">
        <v>0.61324999999999996</v>
      </c>
      <c r="D32" s="14">
        <v>0.21115</v>
      </c>
      <c r="E32" s="14">
        <v>0.71558499999999992</v>
      </c>
      <c r="F32" s="14">
        <v>1.17E-3</v>
      </c>
      <c r="G32" s="14">
        <v>1.11385</v>
      </c>
      <c r="H32" s="14">
        <v>1.2277</v>
      </c>
      <c r="I32" s="14">
        <v>4.4135000000000001E-2</v>
      </c>
      <c r="J32" s="14">
        <v>9.7305000000000003E-2</v>
      </c>
      <c r="K32" s="14">
        <v>0.28344000000000003</v>
      </c>
      <c r="L32" s="14">
        <v>2.2380000000000001E-2</v>
      </c>
    </row>
    <row r="33" spans="1:12" x14ac:dyDescent="0.3">
      <c r="A33" s="61">
        <v>43907</v>
      </c>
      <c r="B33" s="14">
        <v>1.5824999999999999E-2</v>
      </c>
      <c r="C33" s="14">
        <v>0.59755000000000003</v>
      </c>
      <c r="D33" s="14">
        <v>0.20214499999999999</v>
      </c>
      <c r="E33" s="14">
        <v>0.70482</v>
      </c>
      <c r="F33" s="14">
        <v>1.17E-3</v>
      </c>
      <c r="G33" s="14">
        <v>1.0972</v>
      </c>
      <c r="H33" s="14">
        <v>1.2011000000000001</v>
      </c>
      <c r="I33" s="14">
        <v>4.3180000000000003E-2</v>
      </c>
      <c r="J33" s="14">
        <v>9.5869999999999997E-2</v>
      </c>
      <c r="K33" s="14">
        <v>0.28192499999999998</v>
      </c>
      <c r="L33" s="14">
        <v>2.1815000000000001E-2</v>
      </c>
    </row>
    <row r="34" spans="1:12" x14ac:dyDescent="0.3">
      <c r="A34" s="61">
        <v>43908</v>
      </c>
      <c r="B34" s="14">
        <v>1.5789999999999998E-2</v>
      </c>
      <c r="C34" s="14">
        <v>0.58210000000000006</v>
      </c>
      <c r="D34" s="14">
        <v>0.198045</v>
      </c>
      <c r="E34" s="14">
        <v>0.68815500000000007</v>
      </c>
      <c r="F34" s="14">
        <v>1.15E-3</v>
      </c>
      <c r="G34" s="14">
        <v>1.08335</v>
      </c>
      <c r="H34" s="14">
        <v>1.17635</v>
      </c>
      <c r="I34" s="14">
        <v>4.2145000000000002E-2</v>
      </c>
      <c r="J34" s="14">
        <v>9.0239999999999987E-2</v>
      </c>
      <c r="K34" s="14">
        <v>0.28156500000000001</v>
      </c>
      <c r="L34" s="14">
        <v>2.1805000000000001E-2</v>
      </c>
    </row>
    <row r="35" spans="1:12" x14ac:dyDescent="0.3">
      <c r="A35" s="61">
        <v>43909</v>
      </c>
      <c r="B35" s="14">
        <v>1.5730000000000001E-2</v>
      </c>
      <c r="C35" s="14">
        <v>0.58640000000000003</v>
      </c>
      <c r="D35" s="14">
        <v>0.19567499999999999</v>
      </c>
      <c r="E35" s="14">
        <v>0.69136500000000001</v>
      </c>
      <c r="F35" s="14">
        <v>1.16E-3</v>
      </c>
      <c r="G35" s="14">
        <v>1.0701499999999999</v>
      </c>
      <c r="H35" s="14">
        <v>1.16605</v>
      </c>
      <c r="I35" s="14">
        <v>4.1489999999999999E-2</v>
      </c>
      <c r="J35" s="14">
        <v>8.885499999999999E-2</v>
      </c>
      <c r="K35" s="14">
        <v>0.28038000000000002</v>
      </c>
      <c r="L35" s="14">
        <v>2.1770000000000001E-2</v>
      </c>
    </row>
    <row r="36" spans="1:12" x14ac:dyDescent="0.3">
      <c r="A36" s="61">
        <v>43910</v>
      </c>
      <c r="B36" s="14">
        <v>1.5679999999999999E-2</v>
      </c>
      <c r="C36" s="14">
        <v>0.58445000000000003</v>
      </c>
      <c r="D36" s="14">
        <v>0.19439500000000001</v>
      </c>
      <c r="E36" s="14">
        <v>0.69666500000000009</v>
      </c>
      <c r="F36" s="14">
        <v>1.17E-3</v>
      </c>
      <c r="G36" s="14">
        <v>1.0689</v>
      </c>
      <c r="H36" s="14">
        <v>1.17435</v>
      </c>
      <c r="I36" s="14">
        <v>4.1605000000000003E-2</v>
      </c>
      <c r="J36" s="14">
        <v>8.5614999999999997E-2</v>
      </c>
      <c r="K36" s="14">
        <v>0.28058000000000011</v>
      </c>
      <c r="L36" s="14">
        <v>2.2120000000000001E-2</v>
      </c>
    </row>
    <row r="37" spans="1:12" x14ac:dyDescent="0.3">
      <c r="A37" s="61">
        <v>43911</v>
      </c>
      <c r="B37" s="14">
        <v>1.5679999999999999E-2</v>
      </c>
      <c r="C37" s="14">
        <v>0.58445000000000003</v>
      </c>
      <c r="D37" s="14">
        <v>0.19439500000000001</v>
      </c>
      <c r="E37" s="14">
        <v>0.69666500000000009</v>
      </c>
      <c r="F37" s="14">
        <v>1.17E-3</v>
      </c>
      <c r="G37" s="14">
        <v>1.0689</v>
      </c>
      <c r="H37" s="14">
        <v>1.17435</v>
      </c>
      <c r="I37" s="14">
        <v>4.1605000000000003E-2</v>
      </c>
      <c r="J37" s="14">
        <v>8.5614999999999997E-2</v>
      </c>
      <c r="K37" s="14">
        <v>0.28058000000000011</v>
      </c>
      <c r="L37" s="14">
        <v>2.2120000000000001E-2</v>
      </c>
    </row>
    <row r="38" spans="1:12" x14ac:dyDescent="0.3">
      <c r="A38" s="61">
        <v>43912</v>
      </c>
      <c r="B38" s="14">
        <v>1.5679999999999999E-2</v>
      </c>
      <c r="C38" s="14">
        <v>0.58445000000000003</v>
      </c>
      <c r="D38" s="14">
        <v>0.19439500000000001</v>
      </c>
      <c r="E38" s="14">
        <v>0.69666500000000009</v>
      </c>
      <c r="F38" s="14">
        <v>1.17E-3</v>
      </c>
      <c r="G38" s="14">
        <v>1.0689</v>
      </c>
      <c r="H38" s="14">
        <v>1.17435</v>
      </c>
      <c r="I38" s="14">
        <v>4.1605000000000003E-2</v>
      </c>
      <c r="J38" s="14">
        <v>8.5614999999999997E-2</v>
      </c>
      <c r="K38" s="14">
        <v>0.28058000000000011</v>
      </c>
      <c r="L38" s="14">
        <v>2.2120000000000001E-2</v>
      </c>
    </row>
    <row r="39" spans="1:12" x14ac:dyDescent="0.3">
      <c r="A39" s="61">
        <v>43913</v>
      </c>
      <c r="B39" s="14">
        <v>1.5699999999999999E-2</v>
      </c>
      <c r="C39" s="14">
        <v>0.57555000000000001</v>
      </c>
      <c r="D39" s="14">
        <v>0.19439500000000001</v>
      </c>
      <c r="E39" s="14">
        <v>0.68782500000000002</v>
      </c>
      <c r="F39" s="14">
        <v>1.16E-3</v>
      </c>
      <c r="G39" s="14">
        <v>1.07595</v>
      </c>
      <c r="H39" s="14">
        <v>1.1490499999999999</v>
      </c>
      <c r="I39" s="14">
        <v>3.9774999999999998E-2</v>
      </c>
      <c r="J39" s="14">
        <v>8.8465000000000002E-2</v>
      </c>
      <c r="K39" s="14">
        <v>0.28058000000000011</v>
      </c>
      <c r="L39" s="14">
        <v>2.2454999999999999E-2</v>
      </c>
    </row>
    <row r="40" spans="1:12" x14ac:dyDescent="0.3">
      <c r="A40" s="61">
        <v>43914</v>
      </c>
      <c r="B40" s="14">
        <v>1.5679999999999999E-2</v>
      </c>
      <c r="C40" s="14">
        <v>0.5927</v>
      </c>
      <c r="D40" s="14">
        <v>0.19902500000000001</v>
      </c>
      <c r="E40" s="14">
        <v>0.69060499999999991</v>
      </c>
      <c r="F40" s="14">
        <v>1.175E-3</v>
      </c>
      <c r="G40" s="14">
        <v>1.07965</v>
      </c>
      <c r="H40" s="14">
        <v>1.17815</v>
      </c>
      <c r="I40" s="14">
        <v>3.977E-2</v>
      </c>
      <c r="J40" s="14">
        <v>9.0164999999999995E-2</v>
      </c>
      <c r="K40" s="14">
        <v>0.283885</v>
      </c>
      <c r="L40" s="14">
        <v>2.2265E-2</v>
      </c>
    </row>
    <row r="41" spans="1:12" x14ac:dyDescent="0.3">
      <c r="A41" s="61">
        <v>43915</v>
      </c>
      <c r="B41" s="14">
        <v>1.5610000000000001E-2</v>
      </c>
      <c r="C41" s="14">
        <v>0.59565000000000001</v>
      </c>
      <c r="D41" s="14">
        <v>0.19719500000000001</v>
      </c>
      <c r="E41" s="14">
        <v>0.69756499999999999</v>
      </c>
      <c r="F41" s="14">
        <v>1.17E-3</v>
      </c>
      <c r="G41" s="14">
        <v>1.08325</v>
      </c>
      <c r="H41" s="14">
        <v>1.1759999999999999</v>
      </c>
      <c r="I41" s="14">
        <v>4.0994999999999997E-2</v>
      </c>
      <c r="J41" s="14">
        <v>9.1744999999999993E-2</v>
      </c>
      <c r="K41" s="14">
        <v>0.28408499999999998</v>
      </c>
      <c r="L41" s="14">
        <v>2.2825000000000002E-2</v>
      </c>
    </row>
    <row r="42" spans="1:12" x14ac:dyDescent="0.3">
      <c r="A42" s="61">
        <v>43916</v>
      </c>
      <c r="B42" s="14">
        <v>1.5565000000000001E-2</v>
      </c>
      <c r="C42" s="14">
        <v>0.60455000000000003</v>
      </c>
      <c r="D42" s="14">
        <v>0.19722000000000001</v>
      </c>
      <c r="E42" s="14">
        <v>0.71189000000000002</v>
      </c>
      <c r="F42" s="14">
        <v>1.1999999999999999E-3</v>
      </c>
      <c r="G42" s="14">
        <v>1.1024</v>
      </c>
      <c r="H42" s="14">
        <v>1.2135499999999999</v>
      </c>
      <c r="I42" s="14">
        <v>4.3240000000000001E-2</v>
      </c>
      <c r="J42" s="14">
        <v>9.6055000000000001E-2</v>
      </c>
      <c r="K42" s="14">
        <v>0.28575</v>
      </c>
      <c r="L42" s="14">
        <v>2.3535E-2</v>
      </c>
    </row>
    <row r="43" spans="1:12" x14ac:dyDescent="0.3">
      <c r="A43" s="61">
        <v>43917</v>
      </c>
      <c r="B43" s="14">
        <v>1.554E-2</v>
      </c>
      <c r="C43" s="14">
        <v>0.61270000000000002</v>
      </c>
      <c r="D43" s="14">
        <v>0.19989999999999999</v>
      </c>
      <c r="E43" s="14">
        <v>0.71039999999999992</v>
      </c>
      <c r="F43" s="14">
        <v>1.1900000000000001E-3</v>
      </c>
      <c r="G43" s="14">
        <v>1.1057999999999999</v>
      </c>
      <c r="H43" s="14">
        <v>1.2354000000000001</v>
      </c>
      <c r="I43" s="14">
        <v>4.2719999999999987E-2</v>
      </c>
      <c r="J43" s="14">
        <v>9.5170000000000005E-2</v>
      </c>
      <c r="K43" s="14">
        <v>0.29120499999999999</v>
      </c>
      <c r="L43" s="14">
        <v>2.2929999999999999E-2</v>
      </c>
    </row>
    <row r="44" spans="1:12" x14ac:dyDescent="0.3">
      <c r="A44" s="61">
        <v>43918</v>
      </c>
      <c r="B44" s="14">
        <v>1.554E-2</v>
      </c>
      <c r="C44" s="14">
        <v>0.61270000000000002</v>
      </c>
      <c r="D44" s="14">
        <v>0.19989999999999999</v>
      </c>
      <c r="E44" s="14">
        <v>0.71039999999999992</v>
      </c>
      <c r="F44" s="14">
        <v>1.1900000000000001E-3</v>
      </c>
      <c r="G44" s="14">
        <v>1.1057999999999999</v>
      </c>
      <c r="H44" s="14">
        <v>1.2354000000000001</v>
      </c>
      <c r="I44" s="14">
        <v>4.2719999999999987E-2</v>
      </c>
      <c r="J44" s="14">
        <v>9.5170000000000005E-2</v>
      </c>
      <c r="K44" s="14">
        <v>0.29120499999999999</v>
      </c>
      <c r="L44" s="14">
        <v>2.2929999999999999E-2</v>
      </c>
    </row>
    <row r="45" spans="1:12" x14ac:dyDescent="0.3">
      <c r="A45" s="61">
        <v>43919</v>
      </c>
      <c r="B45" s="14">
        <v>1.554E-2</v>
      </c>
      <c r="C45" s="14">
        <v>0.61270000000000002</v>
      </c>
      <c r="D45" s="14">
        <v>0.19989999999999999</v>
      </c>
      <c r="E45" s="14">
        <v>0.71039999999999992</v>
      </c>
      <c r="F45" s="14">
        <v>1.1900000000000001E-3</v>
      </c>
      <c r="G45" s="14">
        <v>1.1057999999999999</v>
      </c>
      <c r="H45" s="14">
        <v>1.2354000000000001</v>
      </c>
      <c r="I45" s="14">
        <v>4.2719999999999987E-2</v>
      </c>
      <c r="J45" s="14">
        <v>9.5170000000000005E-2</v>
      </c>
      <c r="K45" s="14">
        <v>0.29120499999999999</v>
      </c>
      <c r="L45" s="14">
        <v>2.2929999999999999E-2</v>
      </c>
    </row>
    <row r="46" spans="1:12" x14ac:dyDescent="0.3">
      <c r="A46" s="61">
        <v>43920</v>
      </c>
      <c r="B46" s="14">
        <v>1.5509999999999999E-2</v>
      </c>
      <c r="C46" s="14">
        <v>0.61549999999999994</v>
      </c>
      <c r="D46" s="14">
        <v>0.19567000000000001</v>
      </c>
      <c r="E46" s="14">
        <v>0.70596000000000003</v>
      </c>
      <c r="F46" s="14">
        <v>1.1800000000000001E-3</v>
      </c>
      <c r="G46" s="14">
        <v>1.1029500000000001</v>
      </c>
      <c r="H46" s="14">
        <v>1.24125</v>
      </c>
      <c r="I46" s="14">
        <v>4.1285000000000002E-2</v>
      </c>
      <c r="J46" s="14">
        <v>9.4359999999999999E-2</v>
      </c>
      <c r="K46" s="14">
        <v>0.29239500000000002</v>
      </c>
      <c r="L46" s="14">
        <v>2.2720000000000001E-2</v>
      </c>
    </row>
    <row r="47" spans="1:12" x14ac:dyDescent="0.3">
      <c r="A47" s="61">
        <v>43921</v>
      </c>
      <c r="B47" s="14">
        <v>1.5525000000000001E-2</v>
      </c>
      <c r="C47" s="14">
        <v>0.61204999999999998</v>
      </c>
      <c r="D47" s="14">
        <v>0.19383</v>
      </c>
      <c r="E47" s="14">
        <v>0.702565</v>
      </c>
      <c r="F47" s="14">
        <v>1.17E-3</v>
      </c>
      <c r="G47" s="14">
        <v>1.0972500000000001</v>
      </c>
      <c r="H47" s="14">
        <v>1.2399500000000001</v>
      </c>
      <c r="I47" s="14">
        <v>4.2620000000000012E-2</v>
      </c>
      <c r="J47" s="14">
        <v>9.5225000000000004E-2</v>
      </c>
      <c r="K47" s="14">
        <v>0.29111999999999999</v>
      </c>
      <c r="L47" s="14">
        <v>2.325E-2</v>
      </c>
    </row>
    <row r="48" spans="1:12" x14ac:dyDescent="0.3">
      <c r="A48" s="61">
        <v>43922</v>
      </c>
      <c r="B48" s="14">
        <v>1.549E-2</v>
      </c>
      <c r="C48" s="14">
        <v>0.61224999999999996</v>
      </c>
      <c r="D48" s="14">
        <v>0.19236</v>
      </c>
      <c r="E48" s="14">
        <v>0.70377500000000004</v>
      </c>
      <c r="F48" s="14">
        <v>1.15E-3</v>
      </c>
      <c r="G48" s="14">
        <v>1.0924</v>
      </c>
      <c r="H48" s="14">
        <v>1.2424500000000001</v>
      </c>
      <c r="I48" s="14">
        <v>4.1085000000000003E-2</v>
      </c>
      <c r="J48" s="14">
        <v>9.6320000000000003E-2</v>
      </c>
      <c r="K48" s="14">
        <v>0.29090500000000002</v>
      </c>
      <c r="L48" s="14">
        <v>2.2849999999999999E-2</v>
      </c>
    </row>
    <row r="49" spans="1:12" x14ac:dyDescent="0.3">
      <c r="A49" s="61">
        <v>43923</v>
      </c>
      <c r="B49" s="14">
        <v>1.545E-2</v>
      </c>
      <c r="C49" s="14">
        <v>0.60450000000000004</v>
      </c>
      <c r="D49" s="14">
        <v>0.19083</v>
      </c>
      <c r="E49" s="14">
        <v>0.70811000000000002</v>
      </c>
      <c r="F49" s="14">
        <v>1.16E-3</v>
      </c>
      <c r="G49" s="14">
        <v>1.0863499999999999</v>
      </c>
      <c r="H49" s="14">
        <v>1.2379</v>
      </c>
      <c r="I49" s="14">
        <v>4.1645000000000001E-2</v>
      </c>
      <c r="J49" s="14">
        <v>9.6119999999999997E-2</v>
      </c>
      <c r="K49" s="14">
        <v>0.28914000000000001</v>
      </c>
      <c r="L49" s="14">
        <v>2.2724999999999999E-2</v>
      </c>
    </row>
    <row r="50" spans="1:12" x14ac:dyDescent="0.3">
      <c r="A50" s="61">
        <v>43924</v>
      </c>
      <c r="B50" s="14">
        <v>1.541E-2</v>
      </c>
      <c r="C50" s="14">
        <v>0.60119999999999996</v>
      </c>
      <c r="D50" s="14">
        <v>0.18993499999999999</v>
      </c>
      <c r="E50" s="14">
        <v>0.70908499999999997</v>
      </c>
      <c r="F50" s="14">
        <v>1.15E-3</v>
      </c>
      <c r="G50" s="14">
        <v>1.07985</v>
      </c>
      <c r="H50" s="14">
        <v>1.2259</v>
      </c>
      <c r="I50" s="14">
        <v>4.0689999999999997E-2</v>
      </c>
      <c r="J50" s="14">
        <v>9.493E-2</v>
      </c>
      <c r="K50" s="14">
        <v>0.28938999999999998</v>
      </c>
      <c r="L50" s="14">
        <v>2.2565000000000002E-2</v>
      </c>
    </row>
    <row r="51" spans="1:12" x14ac:dyDescent="0.3">
      <c r="A51" s="61">
        <v>43925</v>
      </c>
      <c r="B51" s="14">
        <v>1.541E-2</v>
      </c>
      <c r="C51" s="14">
        <v>0.60119999999999996</v>
      </c>
      <c r="D51" s="14">
        <v>0.18993499999999999</v>
      </c>
      <c r="E51" s="14">
        <v>0.70908499999999997</v>
      </c>
      <c r="F51" s="14">
        <v>1.15E-3</v>
      </c>
      <c r="G51" s="14">
        <v>1.07985</v>
      </c>
      <c r="H51" s="14">
        <v>1.2259</v>
      </c>
      <c r="I51" s="14">
        <v>4.0689999999999997E-2</v>
      </c>
      <c r="J51" s="14">
        <v>9.493E-2</v>
      </c>
      <c r="K51" s="14">
        <v>0.28938999999999998</v>
      </c>
      <c r="L51" s="14">
        <v>2.2565000000000002E-2</v>
      </c>
    </row>
    <row r="52" spans="1:12" x14ac:dyDescent="0.3">
      <c r="A52" s="61">
        <v>43926</v>
      </c>
      <c r="B52" s="14">
        <v>1.541E-2</v>
      </c>
      <c r="C52" s="14">
        <v>0.60119999999999996</v>
      </c>
      <c r="D52" s="14">
        <v>0.18993499999999999</v>
      </c>
      <c r="E52" s="14">
        <v>0.70908499999999997</v>
      </c>
      <c r="F52" s="14">
        <v>1.15E-3</v>
      </c>
      <c r="G52" s="14">
        <v>1.07985</v>
      </c>
      <c r="H52" s="14">
        <v>1.2259</v>
      </c>
      <c r="I52" s="14">
        <v>4.0689999999999997E-2</v>
      </c>
      <c r="J52" s="14">
        <v>9.493E-2</v>
      </c>
      <c r="K52" s="14">
        <v>0.28938999999999998</v>
      </c>
      <c r="L52" s="14">
        <v>2.2565000000000002E-2</v>
      </c>
    </row>
    <row r="53" spans="1:12" x14ac:dyDescent="0.3">
      <c r="A53" s="61">
        <v>43927</v>
      </c>
      <c r="B53" s="14">
        <v>1.538E-2</v>
      </c>
      <c r="C53" s="14">
        <v>0.60785</v>
      </c>
      <c r="D53" s="14">
        <v>0.188695</v>
      </c>
      <c r="E53" s="14">
        <v>0.70706000000000002</v>
      </c>
      <c r="F53" s="14">
        <v>1.165E-3</v>
      </c>
      <c r="G53" s="14">
        <v>1.0783499999999999</v>
      </c>
      <c r="H53" s="14">
        <v>1.2255499999999999</v>
      </c>
      <c r="I53" s="14">
        <v>4.0309999999999999E-2</v>
      </c>
      <c r="J53" s="14">
        <v>9.5500000000000002E-2</v>
      </c>
      <c r="K53" s="14">
        <v>0.28943000000000002</v>
      </c>
      <c r="L53" s="14">
        <v>2.2505000000000001E-2</v>
      </c>
    </row>
    <row r="54" spans="1:12" x14ac:dyDescent="0.3">
      <c r="A54" s="61">
        <v>43928</v>
      </c>
      <c r="B54" s="14">
        <v>1.5365E-2</v>
      </c>
      <c r="C54" s="14">
        <v>0.6179</v>
      </c>
      <c r="D54" s="14">
        <v>0.19059000000000001</v>
      </c>
      <c r="E54" s="14">
        <v>0.71364500000000008</v>
      </c>
      <c r="F54" s="14">
        <v>1.1900000000000001E-3</v>
      </c>
      <c r="G54" s="14">
        <v>1.0882000000000001</v>
      </c>
      <c r="H54" s="14">
        <v>1.23055</v>
      </c>
      <c r="I54" s="14">
        <v>4.1445000000000003E-2</v>
      </c>
      <c r="J54" s="14">
        <v>9.7659999999999997E-2</v>
      </c>
      <c r="K54" s="14">
        <v>0.29333500000000001</v>
      </c>
      <c r="L54" s="14">
        <v>2.3290000000000002E-2</v>
      </c>
    </row>
    <row r="55" spans="1:12" x14ac:dyDescent="0.3">
      <c r="A55" s="61">
        <v>43929</v>
      </c>
      <c r="B55" s="14">
        <v>1.5344999999999999E-2</v>
      </c>
      <c r="C55" s="14">
        <v>0.62104999999999999</v>
      </c>
      <c r="D55" s="14">
        <v>0.19151499999999999</v>
      </c>
      <c r="E55" s="14">
        <v>0.71133000000000002</v>
      </c>
      <c r="F55" s="14">
        <v>1.17E-3</v>
      </c>
      <c r="G55" s="14">
        <v>1.0863499999999999</v>
      </c>
      <c r="H55" s="14">
        <v>1.2382500000000001</v>
      </c>
      <c r="I55" s="14">
        <v>4.1340000000000002E-2</v>
      </c>
      <c r="J55" s="14">
        <v>9.7280000000000005E-2</v>
      </c>
      <c r="K55" s="14">
        <v>0.29673500000000003</v>
      </c>
      <c r="L55" s="14">
        <v>2.3074999999999998E-2</v>
      </c>
    </row>
    <row r="56" spans="1:12" x14ac:dyDescent="0.3">
      <c r="A56" s="61">
        <v>43930</v>
      </c>
      <c r="B56" s="14">
        <v>1.5365E-2</v>
      </c>
      <c r="C56" s="14">
        <v>0.63085000000000002</v>
      </c>
      <c r="D56" s="14">
        <v>0.19151499999999999</v>
      </c>
      <c r="E56" s="14">
        <v>0.71650499999999995</v>
      </c>
      <c r="F56" s="14">
        <v>1.1900000000000001E-3</v>
      </c>
      <c r="G56" s="14">
        <v>1.09385</v>
      </c>
      <c r="H56" s="14">
        <v>1.24685</v>
      </c>
      <c r="I56" s="14">
        <v>4.2645000000000002E-2</v>
      </c>
      <c r="J56" s="14">
        <v>9.8144999999999996E-2</v>
      </c>
      <c r="K56" s="14">
        <v>0.29673500000000003</v>
      </c>
      <c r="L56" s="14">
        <v>2.3185000000000001E-2</v>
      </c>
    </row>
    <row r="57" spans="1:12" x14ac:dyDescent="0.3">
      <c r="A57" s="61">
        <v>43931</v>
      </c>
      <c r="B57" s="14">
        <v>1.5365E-2</v>
      </c>
      <c r="C57" s="14">
        <v>0.63085000000000002</v>
      </c>
      <c r="D57" s="14">
        <v>0.19151499999999999</v>
      </c>
      <c r="E57" s="14">
        <v>0.71650499999999995</v>
      </c>
      <c r="F57" s="14">
        <v>1.1900000000000001E-3</v>
      </c>
      <c r="G57" s="14">
        <v>1.09385</v>
      </c>
      <c r="H57" s="14">
        <v>1.24685</v>
      </c>
      <c r="I57" s="14">
        <v>4.2645000000000002E-2</v>
      </c>
      <c r="J57" s="14">
        <v>9.8144999999999996E-2</v>
      </c>
      <c r="K57" s="14">
        <v>0.29673500000000003</v>
      </c>
      <c r="L57" s="14">
        <v>2.3185000000000001E-2</v>
      </c>
    </row>
    <row r="58" spans="1:12" x14ac:dyDescent="0.3">
      <c r="A58" s="61">
        <v>43932</v>
      </c>
      <c r="B58" s="14">
        <v>1.5365E-2</v>
      </c>
      <c r="C58" s="14">
        <v>0.63085000000000002</v>
      </c>
      <c r="D58" s="14">
        <v>0.19151499999999999</v>
      </c>
      <c r="E58" s="14">
        <v>0.71650499999999995</v>
      </c>
      <c r="F58" s="14">
        <v>1.1900000000000001E-3</v>
      </c>
      <c r="G58" s="14">
        <v>1.09385</v>
      </c>
      <c r="H58" s="14">
        <v>1.24685</v>
      </c>
      <c r="I58" s="14">
        <v>4.2645000000000002E-2</v>
      </c>
      <c r="J58" s="14">
        <v>9.8144999999999996E-2</v>
      </c>
      <c r="K58" s="14">
        <v>0.29673500000000003</v>
      </c>
      <c r="L58" s="14">
        <v>2.3185000000000001E-2</v>
      </c>
    </row>
    <row r="59" spans="1:12" x14ac:dyDescent="0.3">
      <c r="A59" s="61">
        <v>43933</v>
      </c>
      <c r="B59" s="14">
        <v>1.5365E-2</v>
      </c>
      <c r="C59" s="14">
        <v>0.63085000000000002</v>
      </c>
      <c r="D59" s="14">
        <v>0.19151499999999999</v>
      </c>
      <c r="E59" s="14">
        <v>0.71650499999999995</v>
      </c>
      <c r="F59" s="14">
        <v>1.1900000000000001E-3</v>
      </c>
      <c r="G59" s="14">
        <v>1.09385</v>
      </c>
      <c r="H59" s="14">
        <v>1.24685</v>
      </c>
      <c r="I59" s="14">
        <v>4.2645000000000002E-2</v>
      </c>
      <c r="J59" s="14">
        <v>9.8144999999999996E-2</v>
      </c>
      <c r="K59" s="14">
        <v>0.29673500000000003</v>
      </c>
      <c r="L59" s="14">
        <v>2.3185000000000001E-2</v>
      </c>
    </row>
    <row r="60" spans="1:12" x14ac:dyDescent="0.3">
      <c r="A60" s="61">
        <v>43934</v>
      </c>
      <c r="B60" s="14">
        <v>1.529E-2</v>
      </c>
      <c r="C60" s="14">
        <v>0.63734999999999997</v>
      </c>
      <c r="D60" s="14">
        <v>0.19186</v>
      </c>
      <c r="E60" s="14">
        <v>0.71570999999999996</v>
      </c>
      <c r="F60" s="14">
        <v>1.1850000000000001E-3</v>
      </c>
      <c r="G60" s="14">
        <v>1.09005</v>
      </c>
      <c r="H60" s="14">
        <v>1.2503500000000001</v>
      </c>
      <c r="I60" s="14">
        <v>4.2044999999999999E-2</v>
      </c>
      <c r="J60" s="14">
        <v>9.7299999999999998E-2</v>
      </c>
      <c r="K60" s="14">
        <v>0.29805999999999999</v>
      </c>
      <c r="L60" s="14">
        <v>2.3185000000000001E-2</v>
      </c>
    </row>
    <row r="61" spans="1:12" x14ac:dyDescent="0.3">
      <c r="A61" s="61">
        <v>43935</v>
      </c>
      <c r="B61" s="14">
        <v>1.5259999999999999E-2</v>
      </c>
      <c r="C61" s="14">
        <v>0.64215</v>
      </c>
      <c r="D61" s="14">
        <v>0.19297</v>
      </c>
      <c r="E61" s="14">
        <v>0.71999000000000002</v>
      </c>
      <c r="F61" s="14">
        <v>1.17E-3</v>
      </c>
      <c r="G61" s="14">
        <v>1.0969</v>
      </c>
      <c r="H61" s="14">
        <v>1.2598</v>
      </c>
      <c r="I61" s="14">
        <v>4.2459999999999998E-2</v>
      </c>
      <c r="J61" s="14">
        <v>9.6879999999999994E-2</v>
      </c>
      <c r="K61" s="14">
        <v>0.29615999999999998</v>
      </c>
      <c r="L61" s="14">
        <v>2.3035E-2</v>
      </c>
    </row>
    <row r="62" spans="1:12" x14ac:dyDescent="0.3">
      <c r="A62" s="61">
        <v>43936</v>
      </c>
      <c r="B62" s="14">
        <v>1.5235E-2</v>
      </c>
      <c r="C62" s="14">
        <v>0.63314999999999999</v>
      </c>
      <c r="D62" s="14">
        <v>0.19284000000000001</v>
      </c>
      <c r="E62" s="14">
        <v>0.71042499999999997</v>
      </c>
      <c r="F62" s="14">
        <v>1.16E-3</v>
      </c>
      <c r="G62" s="14">
        <v>1.0905</v>
      </c>
      <c r="H62" s="14">
        <v>1.2497499999999999</v>
      </c>
      <c r="I62" s="14">
        <v>4.1590000000000002E-2</v>
      </c>
      <c r="J62" s="14">
        <v>9.5375000000000001E-2</v>
      </c>
      <c r="K62" s="14">
        <v>0.294935</v>
      </c>
      <c r="L62" s="14">
        <v>2.2710000000000001E-2</v>
      </c>
    </row>
    <row r="63" spans="1:12" x14ac:dyDescent="0.3">
      <c r="A63" s="61">
        <v>43937</v>
      </c>
      <c r="B63" s="14">
        <v>1.521E-2</v>
      </c>
      <c r="C63" s="14">
        <v>0.63105</v>
      </c>
      <c r="D63" s="14">
        <v>0.190195</v>
      </c>
      <c r="E63" s="14">
        <v>0.70796000000000003</v>
      </c>
      <c r="F63" s="14">
        <v>1.17E-3</v>
      </c>
      <c r="G63" s="14">
        <v>1.0849500000000001</v>
      </c>
      <c r="H63" s="14">
        <v>1.2445999999999999</v>
      </c>
      <c r="I63" s="14">
        <v>4.1360000000000001E-2</v>
      </c>
      <c r="J63" s="14">
        <v>9.5415E-2</v>
      </c>
      <c r="K63" s="14">
        <v>0.29248000000000002</v>
      </c>
      <c r="L63" s="14">
        <v>2.2939999999999999E-2</v>
      </c>
    </row>
    <row r="64" spans="1:12" x14ac:dyDescent="0.3">
      <c r="A64" s="61">
        <v>43938</v>
      </c>
      <c r="B64" s="14">
        <v>1.5180000000000001E-2</v>
      </c>
      <c r="C64" s="14">
        <v>0.63614999999999999</v>
      </c>
      <c r="D64" s="14">
        <v>0.19092999999999999</v>
      </c>
      <c r="E64" s="14">
        <v>0.71245000000000003</v>
      </c>
      <c r="F64" s="14">
        <v>1.17E-3</v>
      </c>
      <c r="G64" s="14">
        <v>1.0889</v>
      </c>
      <c r="H64" s="14">
        <v>1.2504</v>
      </c>
      <c r="I64" s="14">
        <v>4.1730000000000003E-2</v>
      </c>
      <c r="J64" s="14">
        <v>9.6564999999999998E-2</v>
      </c>
      <c r="K64" s="14">
        <v>0.29333500000000001</v>
      </c>
      <c r="L64" s="14">
        <v>2.2995000000000002E-2</v>
      </c>
    </row>
    <row r="65" spans="1:12" x14ac:dyDescent="0.3">
      <c r="A65" s="61">
        <v>43939</v>
      </c>
      <c r="B65" s="14">
        <v>1.5180000000000001E-2</v>
      </c>
      <c r="C65" s="14">
        <v>0.63614999999999999</v>
      </c>
      <c r="D65" s="14">
        <v>0.19092999999999999</v>
      </c>
      <c r="E65" s="14">
        <v>0.71245000000000003</v>
      </c>
      <c r="F65" s="14">
        <v>1.17E-3</v>
      </c>
      <c r="G65" s="14">
        <v>1.0889</v>
      </c>
      <c r="H65" s="14">
        <v>1.2504</v>
      </c>
      <c r="I65" s="14">
        <v>4.1730000000000003E-2</v>
      </c>
      <c r="J65" s="14">
        <v>9.6564999999999998E-2</v>
      </c>
      <c r="K65" s="14">
        <v>0.29333500000000001</v>
      </c>
      <c r="L65" s="14">
        <v>2.2995000000000002E-2</v>
      </c>
    </row>
    <row r="66" spans="1:12" x14ac:dyDescent="0.3">
      <c r="A66" s="61">
        <v>43940</v>
      </c>
      <c r="B66" s="14">
        <v>1.5180000000000001E-2</v>
      </c>
      <c r="C66" s="14">
        <v>0.63614999999999999</v>
      </c>
      <c r="D66" s="14">
        <v>0.19092999999999999</v>
      </c>
      <c r="E66" s="14">
        <v>0.71245000000000003</v>
      </c>
      <c r="F66" s="14">
        <v>1.17E-3</v>
      </c>
      <c r="G66" s="14">
        <v>1.0889</v>
      </c>
      <c r="H66" s="14">
        <v>1.2504</v>
      </c>
      <c r="I66" s="14">
        <v>4.1730000000000003E-2</v>
      </c>
      <c r="J66" s="14">
        <v>9.6564999999999998E-2</v>
      </c>
      <c r="K66" s="14">
        <v>0.29333500000000001</v>
      </c>
      <c r="L66" s="14">
        <v>2.2995000000000002E-2</v>
      </c>
    </row>
    <row r="67" spans="1:12" x14ac:dyDescent="0.3">
      <c r="A67" s="61">
        <v>43941</v>
      </c>
      <c r="B67" s="14">
        <v>1.515E-2</v>
      </c>
      <c r="C67" s="14">
        <v>0.63890000000000002</v>
      </c>
      <c r="D67" s="14">
        <v>0.19022</v>
      </c>
      <c r="E67" s="14">
        <v>0.71148499999999992</v>
      </c>
      <c r="F67" s="14">
        <v>1.16E-3</v>
      </c>
      <c r="G67" s="14">
        <v>1.08815</v>
      </c>
      <c r="H67" s="14">
        <v>1.2474000000000001</v>
      </c>
      <c r="I67" s="14">
        <v>4.1674999999999997E-2</v>
      </c>
      <c r="J67" s="14">
        <v>9.6405000000000005E-2</v>
      </c>
      <c r="K67" s="14">
        <v>0.29368</v>
      </c>
      <c r="L67" s="14">
        <v>2.3035E-2</v>
      </c>
    </row>
    <row r="68" spans="1:12" x14ac:dyDescent="0.3">
      <c r="A68" s="61">
        <v>43942</v>
      </c>
      <c r="B68" s="14">
        <v>1.5125E-2</v>
      </c>
      <c r="C68" s="14">
        <v>0.62934999999999997</v>
      </c>
      <c r="D68" s="14">
        <v>0.18926999999999999</v>
      </c>
      <c r="E68" s="14">
        <v>0.7041949999999999</v>
      </c>
      <c r="F68" s="14">
        <v>1.15E-3</v>
      </c>
      <c r="G68" s="14">
        <v>1.0861499999999999</v>
      </c>
      <c r="H68" s="14">
        <v>1.2274</v>
      </c>
      <c r="I68" s="14">
        <v>4.1044999999999998E-2</v>
      </c>
      <c r="J68" s="14">
        <v>9.5035000000000008E-2</v>
      </c>
      <c r="K68" s="14">
        <v>0.29346499999999998</v>
      </c>
      <c r="L68" s="14">
        <v>2.3060000000000001E-2</v>
      </c>
    </row>
    <row r="69" spans="1:12" x14ac:dyDescent="0.3">
      <c r="A69" s="61">
        <v>43943</v>
      </c>
      <c r="B69" s="14">
        <v>1.5089999999999999E-2</v>
      </c>
      <c r="C69" s="14">
        <v>0.63129999999999997</v>
      </c>
      <c r="D69" s="14">
        <v>0.18926999999999999</v>
      </c>
      <c r="E69" s="14">
        <v>0.70658500000000002</v>
      </c>
      <c r="F69" s="14">
        <v>1.16E-3</v>
      </c>
      <c r="G69" s="14">
        <v>1.0827500000000001</v>
      </c>
      <c r="H69" s="14">
        <v>1.2326999999999999</v>
      </c>
      <c r="I69" s="14">
        <v>4.0705000000000012E-2</v>
      </c>
      <c r="J69" s="14">
        <v>9.2769999999999991E-2</v>
      </c>
      <c r="K69" s="14">
        <v>0.29424</v>
      </c>
      <c r="L69" s="14">
        <v>2.3154999999999999E-2</v>
      </c>
    </row>
    <row r="70" spans="1:12" x14ac:dyDescent="0.3">
      <c r="A70" s="61">
        <v>43944</v>
      </c>
      <c r="B70" s="14">
        <v>1.5075E-2</v>
      </c>
      <c r="C70" s="14">
        <v>0.63939999999999997</v>
      </c>
      <c r="D70" s="14">
        <v>0.18572</v>
      </c>
      <c r="E70" s="14">
        <v>0.71323500000000006</v>
      </c>
      <c r="F70" s="14">
        <v>1.16E-3</v>
      </c>
      <c r="G70" s="14">
        <v>1.0828</v>
      </c>
      <c r="H70" s="14">
        <v>1.2386999999999999</v>
      </c>
      <c r="I70" s="14">
        <v>4.0689999999999997E-2</v>
      </c>
      <c r="J70" s="14">
        <v>9.4714999999999994E-2</v>
      </c>
      <c r="K70" s="14">
        <v>0.29646499999999998</v>
      </c>
      <c r="L70" s="14">
        <v>2.317E-2</v>
      </c>
    </row>
    <row r="71" spans="1:12" x14ac:dyDescent="0.3">
      <c r="A71" s="61">
        <v>43945</v>
      </c>
      <c r="B71" s="14">
        <v>1.5049999999999999E-2</v>
      </c>
      <c r="C71" s="14">
        <v>0.63769999999999993</v>
      </c>
      <c r="D71" s="14">
        <v>0.18360000000000001</v>
      </c>
      <c r="E71" s="14">
        <v>0.70989499999999994</v>
      </c>
      <c r="F71" s="14">
        <v>1.16E-3</v>
      </c>
      <c r="G71" s="14">
        <v>1.08125</v>
      </c>
      <c r="H71" s="14">
        <v>1.2337499999999999</v>
      </c>
      <c r="I71" s="14">
        <v>4.0230000000000002E-2</v>
      </c>
      <c r="J71" s="14">
        <v>9.3755000000000005E-2</v>
      </c>
      <c r="K71" s="14">
        <v>0.29752499999999998</v>
      </c>
      <c r="L71" s="14">
        <v>2.317E-2</v>
      </c>
    </row>
    <row r="72" spans="1:12" x14ac:dyDescent="0.3">
      <c r="A72" s="61">
        <v>43946</v>
      </c>
      <c r="B72" s="14">
        <v>1.5049999999999999E-2</v>
      </c>
      <c r="C72" s="14">
        <v>0.63769999999999993</v>
      </c>
      <c r="D72" s="14">
        <v>0.18360000000000001</v>
      </c>
      <c r="E72" s="14">
        <v>0.70989499999999994</v>
      </c>
      <c r="F72" s="14">
        <v>1.16E-3</v>
      </c>
      <c r="G72" s="14">
        <v>1.08125</v>
      </c>
      <c r="H72" s="14">
        <v>1.2337499999999999</v>
      </c>
      <c r="I72" s="14">
        <v>4.0230000000000002E-2</v>
      </c>
      <c r="J72" s="14">
        <v>9.3755000000000005E-2</v>
      </c>
      <c r="K72" s="14">
        <v>0.29752499999999998</v>
      </c>
      <c r="L72" s="14">
        <v>2.317E-2</v>
      </c>
    </row>
    <row r="73" spans="1:12" x14ac:dyDescent="0.3">
      <c r="A73" s="61">
        <v>43947</v>
      </c>
      <c r="B73" s="14">
        <v>1.5049999999999999E-2</v>
      </c>
      <c r="C73" s="14">
        <v>0.63769999999999993</v>
      </c>
      <c r="D73" s="14">
        <v>0.18360000000000001</v>
      </c>
      <c r="E73" s="14">
        <v>0.70989499999999994</v>
      </c>
      <c r="F73" s="14">
        <v>1.16E-3</v>
      </c>
      <c r="G73" s="14">
        <v>1.08125</v>
      </c>
      <c r="H73" s="14">
        <v>1.2337499999999999</v>
      </c>
      <c r="I73" s="14">
        <v>4.0230000000000002E-2</v>
      </c>
      <c r="J73" s="14">
        <v>9.3755000000000005E-2</v>
      </c>
      <c r="K73" s="14">
        <v>0.29752499999999998</v>
      </c>
      <c r="L73" s="14">
        <v>2.317E-2</v>
      </c>
    </row>
    <row r="74" spans="1:12" x14ac:dyDescent="0.3">
      <c r="A74" s="61">
        <v>43948</v>
      </c>
      <c r="B74" s="14">
        <v>1.503E-2</v>
      </c>
      <c r="C74" s="14">
        <v>0.64634999999999998</v>
      </c>
      <c r="D74" s="14">
        <v>0.17696000000000001</v>
      </c>
      <c r="E74" s="14">
        <v>0.71184000000000003</v>
      </c>
      <c r="F74" s="14">
        <v>1.16E-3</v>
      </c>
      <c r="G74" s="14">
        <v>1.08405</v>
      </c>
      <c r="H74" s="14">
        <v>1.24095</v>
      </c>
      <c r="I74" s="14">
        <v>4.0265000000000002E-2</v>
      </c>
      <c r="J74" s="14">
        <v>9.4640000000000002E-2</v>
      </c>
      <c r="K74" s="14">
        <v>0.296205</v>
      </c>
      <c r="L74" s="14">
        <v>2.2875E-2</v>
      </c>
    </row>
    <row r="75" spans="1:12" x14ac:dyDescent="0.3">
      <c r="A75" s="61">
        <v>43949</v>
      </c>
      <c r="B75" s="14">
        <v>1.4999999999999999E-2</v>
      </c>
      <c r="C75" s="14">
        <v>0.64874999999999994</v>
      </c>
      <c r="D75" s="14">
        <v>0.17743999999999999</v>
      </c>
      <c r="E75" s="14">
        <v>0.71438000000000001</v>
      </c>
      <c r="F75" s="14">
        <v>1.17E-3</v>
      </c>
      <c r="G75" s="14">
        <v>1.0831999999999999</v>
      </c>
      <c r="H75" s="14">
        <v>1.2437</v>
      </c>
      <c r="I75" s="14">
        <v>4.0869999999999997E-2</v>
      </c>
      <c r="J75" s="14">
        <v>9.6149999999999999E-2</v>
      </c>
      <c r="K75" s="14">
        <v>0.29449999999999998</v>
      </c>
      <c r="L75" s="14">
        <v>2.3115E-2</v>
      </c>
    </row>
    <row r="76" spans="1:12" x14ac:dyDescent="0.3">
      <c r="A76" s="61">
        <v>43950</v>
      </c>
      <c r="B76" s="14">
        <v>1.4975E-2</v>
      </c>
      <c r="C76" s="14">
        <v>0.65354999999999996</v>
      </c>
      <c r="D76" s="14">
        <v>0.17959</v>
      </c>
      <c r="E76" s="14">
        <v>0.71795000000000009</v>
      </c>
      <c r="F76" s="14">
        <v>1.1900000000000001E-3</v>
      </c>
      <c r="G76" s="14">
        <v>1.08535</v>
      </c>
      <c r="H76" s="14">
        <v>1.2436499999999999</v>
      </c>
      <c r="I76" s="14">
        <v>4.1660000000000003E-2</v>
      </c>
      <c r="J76" s="14">
        <v>9.6645000000000009E-2</v>
      </c>
      <c r="K76" s="14">
        <v>0.29546</v>
      </c>
      <c r="L76" s="14">
        <v>2.3285E-2</v>
      </c>
    </row>
    <row r="77" spans="1:12" x14ac:dyDescent="0.3">
      <c r="A77" s="61">
        <v>43951</v>
      </c>
      <c r="B77" s="14">
        <v>1.4970000000000001E-2</v>
      </c>
      <c r="C77" s="14">
        <v>0.65470000000000006</v>
      </c>
      <c r="D77" s="14">
        <v>0.1842</v>
      </c>
      <c r="E77" s="14">
        <v>0.71996499999999997</v>
      </c>
      <c r="F77" s="14">
        <v>1.1900000000000001E-3</v>
      </c>
      <c r="G77" s="14">
        <v>1.0952999999999999</v>
      </c>
      <c r="H77" s="14">
        <v>1.26135</v>
      </c>
      <c r="I77" s="14">
        <v>4.199E-2</v>
      </c>
      <c r="J77" s="14">
        <v>9.7849999999999993E-2</v>
      </c>
      <c r="K77" s="14">
        <v>0.29664499999999999</v>
      </c>
      <c r="L77" s="14">
        <v>2.3595000000000001E-2</v>
      </c>
    </row>
    <row r="78" spans="1:12" x14ac:dyDescent="0.3">
      <c r="A78" s="61">
        <v>43952</v>
      </c>
      <c r="B78" s="14">
        <v>1.5044999999999999E-2</v>
      </c>
      <c r="C78" s="14">
        <v>0.64485000000000003</v>
      </c>
      <c r="D78" s="14">
        <v>0.1842</v>
      </c>
      <c r="E78" s="14">
        <v>0.71036999999999995</v>
      </c>
      <c r="F78" s="14">
        <v>1.1900000000000001E-3</v>
      </c>
      <c r="G78" s="14">
        <v>1.1008500000000001</v>
      </c>
      <c r="H78" s="14">
        <v>1.2542500000000001</v>
      </c>
      <c r="I78" s="14">
        <v>4.0485E-2</v>
      </c>
      <c r="J78" s="14">
        <v>9.6960000000000005E-2</v>
      </c>
      <c r="K78" s="14">
        <v>0.29664499999999999</v>
      </c>
      <c r="L78" s="14">
        <v>2.3295E-2</v>
      </c>
    </row>
    <row r="79" spans="1:12" x14ac:dyDescent="0.3">
      <c r="A79" s="61">
        <v>43953</v>
      </c>
      <c r="B79" s="14">
        <v>1.5044999999999999E-2</v>
      </c>
      <c r="C79" s="14">
        <v>0.64485000000000003</v>
      </c>
      <c r="D79" s="14">
        <v>0.1842</v>
      </c>
      <c r="E79" s="14">
        <v>0.71036999999999995</v>
      </c>
      <c r="F79" s="14">
        <v>1.1900000000000001E-3</v>
      </c>
      <c r="G79" s="14">
        <v>1.1008500000000001</v>
      </c>
      <c r="H79" s="14">
        <v>1.2542500000000001</v>
      </c>
      <c r="I79" s="14">
        <v>4.0485E-2</v>
      </c>
      <c r="J79" s="14">
        <v>9.6960000000000005E-2</v>
      </c>
      <c r="K79" s="14">
        <v>0.29664499999999999</v>
      </c>
      <c r="L79" s="14">
        <v>2.3295E-2</v>
      </c>
    </row>
    <row r="80" spans="1:12" x14ac:dyDescent="0.3">
      <c r="A80" s="61">
        <v>43954</v>
      </c>
      <c r="B80" s="14">
        <v>1.5044999999999999E-2</v>
      </c>
      <c r="C80" s="14">
        <v>0.64485000000000003</v>
      </c>
      <c r="D80" s="14">
        <v>0.1842</v>
      </c>
      <c r="E80" s="14">
        <v>0.71036999999999995</v>
      </c>
      <c r="F80" s="14">
        <v>1.1900000000000001E-3</v>
      </c>
      <c r="G80" s="14">
        <v>1.1008500000000001</v>
      </c>
      <c r="H80" s="14">
        <v>1.2542500000000001</v>
      </c>
      <c r="I80" s="14">
        <v>4.0485E-2</v>
      </c>
      <c r="J80" s="14">
        <v>9.6960000000000005E-2</v>
      </c>
      <c r="K80" s="14">
        <v>0.29664499999999999</v>
      </c>
      <c r="L80" s="14">
        <v>2.3295E-2</v>
      </c>
    </row>
    <row r="81" spans="1:12" x14ac:dyDescent="0.3">
      <c r="A81" s="61">
        <v>43955</v>
      </c>
      <c r="B81" s="14">
        <v>1.494E-2</v>
      </c>
      <c r="C81" s="14">
        <v>0.64134999999999998</v>
      </c>
      <c r="D81" s="14">
        <v>0.18426999999999999</v>
      </c>
      <c r="E81" s="14">
        <v>0.71009499999999992</v>
      </c>
      <c r="F81" s="14">
        <v>1.1900000000000001E-3</v>
      </c>
      <c r="G81" s="14">
        <v>1.09165</v>
      </c>
      <c r="H81" s="14">
        <v>1.2421</v>
      </c>
      <c r="I81" s="14">
        <v>4.0989999999999999E-2</v>
      </c>
      <c r="J81" s="14">
        <v>9.6434999999999993E-2</v>
      </c>
      <c r="K81" s="14">
        <v>0.29589500000000002</v>
      </c>
      <c r="L81" s="14">
        <v>2.3295E-2</v>
      </c>
    </row>
    <row r="82" spans="1:12" x14ac:dyDescent="0.3">
      <c r="A82" s="61">
        <v>43956</v>
      </c>
      <c r="B82" s="14">
        <v>1.4919999999999999E-2</v>
      </c>
      <c r="C82" s="14">
        <v>0.64444999999999997</v>
      </c>
      <c r="D82" s="14">
        <v>0.17916499999999999</v>
      </c>
      <c r="E82" s="14">
        <v>0.71135999999999999</v>
      </c>
      <c r="F82" s="14">
        <v>1.1950000000000001E-3</v>
      </c>
      <c r="G82" s="14">
        <v>1.08405</v>
      </c>
      <c r="H82" s="14">
        <v>1.2455000000000001</v>
      </c>
      <c r="I82" s="14">
        <v>4.1965000000000002E-2</v>
      </c>
      <c r="J82" s="14">
        <v>9.7354999999999997E-2</v>
      </c>
      <c r="K82" s="14">
        <v>0.29528500000000002</v>
      </c>
      <c r="L82" s="14">
        <v>2.3359999999999999E-2</v>
      </c>
    </row>
    <row r="83" spans="1:12" x14ac:dyDescent="0.3">
      <c r="A83" s="61">
        <v>43957</v>
      </c>
      <c r="B83" s="14">
        <v>1.49E-2</v>
      </c>
      <c r="C83" s="14">
        <v>0.64305000000000001</v>
      </c>
      <c r="D83" s="14">
        <v>0.18065999999999999</v>
      </c>
      <c r="E83" s="14">
        <v>0.70750999999999997</v>
      </c>
      <c r="F83" s="14">
        <v>1.1900000000000001E-3</v>
      </c>
      <c r="G83" s="14">
        <v>1.07975</v>
      </c>
      <c r="H83" s="14">
        <v>1.2362</v>
      </c>
      <c r="I83" s="14">
        <v>4.1119999999999997E-2</v>
      </c>
      <c r="J83" s="14">
        <v>9.7179999999999989E-2</v>
      </c>
      <c r="K83" s="14">
        <v>0.29488999999999999</v>
      </c>
      <c r="L83" s="14">
        <v>2.3224999999999999E-2</v>
      </c>
    </row>
    <row r="84" spans="1:12" x14ac:dyDescent="0.3">
      <c r="A84" s="61">
        <v>43958</v>
      </c>
      <c r="B84" s="14">
        <v>1.4919999999999999E-2</v>
      </c>
      <c r="C84" s="14">
        <v>0.6452</v>
      </c>
      <c r="D84" s="14">
        <v>0.17645</v>
      </c>
      <c r="E84" s="14">
        <v>0.71301000000000003</v>
      </c>
      <c r="F84" s="14">
        <v>1.1900000000000001E-3</v>
      </c>
      <c r="G84" s="14">
        <v>1.07775</v>
      </c>
      <c r="H84" s="14">
        <v>1.22855</v>
      </c>
      <c r="I84" s="14">
        <v>4.1459999999999997E-2</v>
      </c>
      <c r="J84" s="14">
        <v>9.7305000000000003E-2</v>
      </c>
      <c r="K84" s="14">
        <v>0.29368</v>
      </c>
      <c r="L84" s="14">
        <v>2.3050000000000001E-2</v>
      </c>
    </row>
    <row r="85" spans="1:12" x14ac:dyDescent="0.3">
      <c r="A85" s="61">
        <v>43959</v>
      </c>
      <c r="B85" s="14">
        <v>1.486E-2</v>
      </c>
      <c r="C85" s="14">
        <v>0.65405000000000002</v>
      </c>
      <c r="D85" s="14">
        <v>0.17133999999999999</v>
      </c>
      <c r="E85" s="14">
        <v>0.71805000000000008</v>
      </c>
      <c r="F85" s="14">
        <v>1.1999999999999999E-3</v>
      </c>
      <c r="G85" s="14">
        <v>1.08725</v>
      </c>
      <c r="H85" s="14">
        <v>1.2453000000000001</v>
      </c>
      <c r="I85" s="14">
        <v>4.2215000000000003E-2</v>
      </c>
      <c r="J85" s="14">
        <v>9.820000000000001E-2</v>
      </c>
      <c r="K85" s="14">
        <v>0.29350999999999999</v>
      </c>
      <c r="L85" s="14">
        <v>2.2644999999999998E-2</v>
      </c>
    </row>
    <row r="86" spans="1:12" x14ac:dyDescent="0.3">
      <c r="A86" s="61">
        <v>43960</v>
      </c>
      <c r="B86" s="14">
        <v>1.486E-2</v>
      </c>
      <c r="C86" s="14">
        <v>0.65405000000000002</v>
      </c>
      <c r="D86" s="14">
        <v>0.17133999999999999</v>
      </c>
      <c r="E86" s="14">
        <v>0.71805000000000008</v>
      </c>
      <c r="F86" s="14">
        <v>1.1999999999999999E-3</v>
      </c>
      <c r="G86" s="14">
        <v>1.08725</v>
      </c>
      <c r="H86" s="14">
        <v>1.2453000000000001</v>
      </c>
      <c r="I86" s="14">
        <v>4.2215000000000003E-2</v>
      </c>
      <c r="J86" s="14">
        <v>9.820000000000001E-2</v>
      </c>
      <c r="K86" s="14">
        <v>0.29350999999999999</v>
      </c>
      <c r="L86" s="14">
        <v>2.2644999999999998E-2</v>
      </c>
    </row>
    <row r="87" spans="1:12" x14ac:dyDescent="0.3">
      <c r="A87" s="61">
        <v>43961</v>
      </c>
      <c r="B87" s="14">
        <v>1.486E-2</v>
      </c>
      <c r="C87" s="14">
        <v>0.65405000000000002</v>
      </c>
      <c r="D87" s="14">
        <v>0.17133999999999999</v>
      </c>
      <c r="E87" s="14">
        <v>0.71805000000000008</v>
      </c>
      <c r="F87" s="14">
        <v>1.1999999999999999E-3</v>
      </c>
      <c r="G87" s="14">
        <v>1.08725</v>
      </c>
      <c r="H87" s="14">
        <v>1.2453000000000001</v>
      </c>
      <c r="I87" s="14">
        <v>4.2215000000000003E-2</v>
      </c>
      <c r="J87" s="14">
        <v>9.820000000000001E-2</v>
      </c>
      <c r="K87" s="14">
        <v>0.29350999999999999</v>
      </c>
      <c r="L87" s="14">
        <v>2.2644999999999998E-2</v>
      </c>
    </row>
    <row r="88" spans="1:12" x14ac:dyDescent="0.3">
      <c r="A88" s="61">
        <v>43962</v>
      </c>
      <c r="B88" s="14">
        <v>1.4840000000000001E-2</v>
      </c>
      <c r="C88" s="14">
        <v>0.64864999999999995</v>
      </c>
      <c r="D88" s="14">
        <v>0.173455</v>
      </c>
      <c r="E88" s="14">
        <v>0.71331</v>
      </c>
      <c r="F88" s="14">
        <v>1.2099999999999999E-3</v>
      </c>
      <c r="G88" s="14">
        <v>1.0825</v>
      </c>
      <c r="H88" s="14">
        <v>1.2356</v>
      </c>
      <c r="I88" s="14">
        <v>4.1980000000000003E-2</v>
      </c>
      <c r="J88" s="14">
        <v>9.7564999999999999E-2</v>
      </c>
      <c r="K88" s="14">
        <v>0.29441499999999998</v>
      </c>
      <c r="L88" s="14">
        <v>2.2800000000000001E-2</v>
      </c>
    </row>
    <row r="89" spans="1:12" x14ac:dyDescent="0.3">
      <c r="A89" s="61">
        <v>43963</v>
      </c>
      <c r="B89" s="14">
        <v>1.482E-2</v>
      </c>
      <c r="C89" s="14">
        <v>0.65185000000000004</v>
      </c>
      <c r="D89" s="14">
        <v>0.17255499999999999</v>
      </c>
      <c r="E89" s="14">
        <v>0.71463999999999994</v>
      </c>
      <c r="F89" s="14">
        <v>1.2099999999999999E-3</v>
      </c>
      <c r="G89" s="14">
        <v>1.08745</v>
      </c>
      <c r="H89" s="14">
        <v>1.2331000000000001</v>
      </c>
      <c r="I89" s="14">
        <v>4.1605000000000003E-2</v>
      </c>
      <c r="J89" s="14">
        <v>9.8565E-2</v>
      </c>
      <c r="K89" s="14">
        <v>0.292435</v>
      </c>
      <c r="L89" s="14">
        <v>2.2970000000000001E-2</v>
      </c>
    </row>
    <row r="90" spans="1:12" x14ac:dyDescent="0.3">
      <c r="A90" s="61">
        <v>43964</v>
      </c>
      <c r="B90" s="14">
        <v>1.4800000000000001E-2</v>
      </c>
      <c r="C90" s="14">
        <v>0.64734999999999998</v>
      </c>
      <c r="D90" s="14">
        <v>0.17324500000000001</v>
      </c>
      <c r="E90" s="14">
        <v>0.71097999999999995</v>
      </c>
      <c r="F90" s="14">
        <v>1.2099999999999999E-3</v>
      </c>
      <c r="G90" s="14">
        <v>1.0839000000000001</v>
      </c>
      <c r="H90" s="14">
        <v>1.2225999999999999</v>
      </c>
      <c r="I90" s="14">
        <v>4.1189999999999997E-2</v>
      </c>
      <c r="J90" s="14">
        <v>9.8665000000000003E-2</v>
      </c>
      <c r="K90" s="14">
        <v>0.29214000000000001</v>
      </c>
      <c r="L90" s="14">
        <v>2.2970000000000001E-2</v>
      </c>
    </row>
    <row r="91" spans="1:12" x14ac:dyDescent="0.3">
      <c r="A91" s="61">
        <v>43965</v>
      </c>
      <c r="B91" s="14">
        <v>1.478E-2</v>
      </c>
      <c r="C91" s="14">
        <v>0.64224999999999999</v>
      </c>
      <c r="D91" s="14">
        <v>0.16943</v>
      </c>
      <c r="E91" s="14">
        <v>0.70926500000000003</v>
      </c>
      <c r="F91" s="14">
        <v>1.2099999999999999E-3</v>
      </c>
      <c r="G91" s="14">
        <v>1.08135</v>
      </c>
      <c r="H91" s="14">
        <v>1.2199500000000001</v>
      </c>
      <c r="I91" s="14">
        <v>4.1419999999999998E-2</v>
      </c>
      <c r="J91" s="14">
        <v>9.776E-2</v>
      </c>
      <c r="K91" s="14">
        <v>0.29107499999999997</v>
      </c>
      <c r="L91" s="14">
        <v>2.2610000000000002E-2</v>
      </c>
    </row>
    <row r="92" spans="1:12" x14ac:dyDescent="0.3">
      <c r="A92" s="61">
        <v>43966</v>
      </c>
      <c r="B92" s="14">
        <v>1.4760000000000001E-2</v>
      </c>
      <c r="C92" s="14">
        <v>0.64134999999999998</v>
      </c>
      <c r="D92" s="14">
        <v>0.16843</v>
      </c>
      <c r="E92" s="14">
        <v>0.710395</v>
      </c>
      <c r="F92" s="14">
        <v>1.2099999999999999E-3</v>
      </c>
      <c r="G92" s="14">
        <v>1.08185</v>
      </c>
      <c r="H92" s="14">
        <v>1.2124999999999999</v>
      </c>
      <c r="I92" s="14">
        <v>4.1794999999999999E-2</v>
      </c>
      <c r="J92" s="14">
        <v>9.7464999999999996E-2</v>
      </c>
      <c r="K92" s="14">
        <v>0.28964000000000001</v>
      </c>
      <c r="L92" s="14">
        <v>2.2644999999999998E-2</v>
      </c>
    </row>
    <row r="93" spans="1:12" x14ac:dyDescent="0.3">
      <c r="A93" s="61">
        <v>43967</v>
      </c>
      <c r="B93" s="14">
        <v>1.4760000000000001E-2</v>
      </c>
      <c r="C93" s="14">
        <v>0.64134999999999998</v>
      </c>
      <c r="D93" s="14">
        <v>0.16843</v>
      </c>
      <c r="E93" s="14">
        <v>0.710395</v>
      </c>
      <c r="F93" s="14">
        <v>1.2099999999999999E-3</v>
      </c>
      <c r="G93" s="14">
        <v>1.08185</v>
      </c>
      <c r="H93" s="14">
        <v>1.2124999999999999</v>
      </c>
      <c r="I93" s="14">
        <v>4.1794999999999999E-2</v>
      </c>
      <c r="J93" s="14">
        <v>9.7464999999999996E-2</v>
      </c>
      <c r="K93" s="14">
        <v>0.28964000000000001</v>
      </c>
      <c r="L93" s="14">
        <v>2.2644999999999998E-2</v>
      </c>
    </row>
    <row r="94" spans="1:12" x14ac:dyDescent="0.3">
      <c r="A94" s="61">
        <v>43968</v>
      </c>
      <c r="B94" s="14">
        <v>1.4760000000000001E-2</v>
      </c>
      <c r="C94" s="14">
        <v>0.64134999999999998</v>
      </c>
      <c r="D94" s="14">
        <v>0.16843</v>
      </c>
      <c r="E94" s="14">
        <v>0.710395</v>
      </c>
      <c r="F94" s="14">
        <v>1.2099999999999999E-3</v>
      </c>
      <c r="G94" s="14">
        <v>1.08185</v>
      </c>
      <c r="H94" s="14">
        <v>1.2124999999999999</v>
      </c>
      <c r="I94" s="14">
        <v>4.1794999999999999E-2</v>
      </c>
      <c r="J94" s="14">
        <v>9.7464999999999996E-2</v>
      </c>
      <c r="K94" s="14">
        <v>0.28964000000000001</v>
      </c>
      <c r="L94" s="14">
        <v>2.2644999999999998E-2</v>
      </c>
    </row>
    <row r="95" spans="1:12" x14ac:dyDescent="0.3">
      <c r="A95" s="61">
        <v>43969</v>
      </c>
      <c r="B95" s="14">
        <v>1.474E-2</v>
      </c>
      <c r="C95" s="14">
        <v>0.64995000000000003</v>
      </c>
      <c r="D95" s="14">
        <v>0.17174</v>
      </c>
      <c r="E95" s="14">
        <v>0.71463999999999994</v>
      </c>
      <c r="F95" s="14">
        <v>1.2099999999999999E-3</v>
      </c>
      <c r="G95" s="14">
        <v>1.08575</v>
      </c>
      <c r="H95" s="14">
        <v>1.2192499999999999</v>
      </c>
      <c r="I95" s="14">
        <v>4.2419999999999999E-2</v>
      </c>
      <c r="J95" s="14">
        <v>9.9074999999999996E-2</v>
      </c>
      <c r="K95" s="14">
        <v>0.29019</v>
      </c>
      <c r="L95" s="14">
        <v>2.2634999999999999E-2</v>
      </c>
    </row>
    <row r="96" spans="1:12" x14ac:dyDescent="0.3">
      <c r="A96" s="61">
        <v>43970</v>
      </c>
      <c r="B96" s="14">
        <v>1.472E-2</v>
      </c>
      <c r="C96" s="14">
        <v>0.65684999999999993</v>
      </c>
      <c r="D96" s="14">
        <v>0.17430000000000001</v>
      </c>
      <c r="E96" s="14">
        <v>0.72063999999999995</v>
      </c>
      <c r="F96" s="14">
        <v>1.2199999999999999E-3</v>
      </c>
      <c r="G96" s="14">
        <v>1.0947499999999999</v>
      </c>
      <c r="H96" s="14">
        <v>1.22505</v>
      </c>
      <c r="I96" s="14">
        <v>4.2424999999999997E-2</v>
      </c>
      <c r="J96" s="14">
        <v>0.10052</v>
      </c>
      <c r="K96" s="14">
        <v>0.292265</v>
      </c>
      <c r="L96" s="14">
        <v>2.2634999999999999E-2</v>
      </c>
    </row>
    <row r="97" spans="1:12" x14ac:dyDescent="0.3">
      <c r="A97" s="61">
        <v>43971</v>
      </c>
      <c r="B97" s="14">
        <v>1.47E-2</v>
      </c>
      <c r="C97" s="14">
        <v>0.65985000000000005</v>
      </c>
      <c r="D97" s="14">
        <v>0.17477999999999999</v>
      </c>
      <c r="E97" s="14">
        <v>0.72045500000000007</v>
      </c>
      <c r="F97" s="14">
        <v>1.24E-3</v>
      </c>
      <c r="G97" s="14">
        <v>1.0992500000000001</v>
      </c>
      <c r="H97" s="14">
        <v>1.2270000000000001</v>
      </c>
      <c r="I97" s="14">
        <v>4.2944999999999997E-2</v>
      </c>
      <c r="J97" s="14">
        <v>0.10095</v>
      </c>
      <c r="K97" s="14">
        <v>0.29175499999999999</v>
      </c>
      <c r="L97" s="14">
        <v>2.2904999999999998E-2</v>
      </c>
    </row>
    <row r="98" spans="1:12" x14ac:dyDescent="0.3">
      <c r="A98" s="61">
        <v>43972</v>
      </c>
      <c r="B98" s="14">
        <v>1.468E-2</v>
      </c>
      <c r="C98" s="14">
        <v>0.65684999999999993</v>
      </c>
      <c r="D98" s="14">
        <v>0.17554</v>
      </c>
      <c r="E98" s="14">
        <v>0.71714999999999995</v>
      </c>
      <c r="F98" s="14">
        <v>1.24E-3</v>
      </c>
      <c r="G98" s="14">
        <v>1.09415</v>
      </c>
      <c r="H98" s="14">
        <v>1.2215</v>
      </c>
      <c r="I98" s="14">
        <v>4.3645000000000003E-2</v>
      </c>
      <c r="J98" s="14">
        <v>0.100345</v>
      </c>
      <c r="K98" s="14">
        <v>0.29350999999999999</v>
      </c>
      <c r="L98" s="14">
        <v>2.3089999999999999E-2</v>
      </c>
    </row>
    <row r="99" spans="1:12" x14ac:dyDescent="0.3">
      <c r="A99" s="61">
        <v>43973</v>
      </c>
      <c r="B99" s="14">
        <v>1.4664999999999999E-2</v>
      </c>
      <c r="C99" s="14">
        <v>0.65234999999999999</v>
      </c>
      <c r="D99" s="14">
        <v>0.17851500000000001</v>
      </c>
      <c r="E99" s="14">
        <v>0.71265000000000001</v>
      </c>
      <c r="F99" s="14">
        <v>1.24E-3</v>
      </c>
      <c r="G99" s="14">
        <v>1.0890500000000001</v>
      </c>
      <c r="H99" s="14">
        <v>1.21895</v>
      </c>
      <c r="I99" s="14">
        <v>4.3825000000000003E-2</v>
      </c>
      <c r="J99" s="14">
        <v>9.9784999999999999E-2</v>
      </c>
      <c r="K99" s="14">
        <v>0.293765</v>
      </c>
      <c r="L99" s="14">
        <v>2.3009999999999999E-2</v>
      </c>
    </row>
    <row r="100" spans="1:12" x14ac:dyDescent="0.3">
      <c r="A100" s="61">
        <v>43974</v>
      </c>
      <c r="B100" s="14">
        <v>1.4664999999999999E-2</v>
      </c>
      <c r="C100" s="14">
        <v>0.65234999999999999</v>
      </c>
      <c r="D100" s="14">
        <v>0.17851500000000001</v>
      </c>
      <c r="E100" s="14">
        <v>0.71265000000000001</v>
      </c>
      <c r="F100" s="14">
        <v>1.24E-3</v>
      </c>
      <c r="G100" s="14">
        <v>1.0890500000000001</v>
      </c>
      <c r="H100" s="14">
        <v>1.21895</v>
      </c>
      <c r="I100" s="14">
        <v>4.3825000000000003E-2</v>
      </c>
      <c r="J100" s="14">
        <v>9.9784999999999999E-2</v>
      </c>
      <c r="K100" s="14">
        <v>0.293765</v>
      </c>
      <c r="L100" s="14">
        <v>2.3009999999999999E-2</v>
      </c>
    </row>
    <row r="101" spans="1:12" x14ac:dyDescent="0.3">
      <c r="A101" s="61">
        <v>43975</v>
      </c>
      <c r="B101" s="14">
        <v>1.4664999999999999E-2</v>
      </c>
      <c r="C101" s="14">
        <v>0.65234999999999999</v>
      </c>
      <c r="D101" s="14">
        <v>0.17851500000000001</v>
      </c>
      <c r="E101" s="14">
        <v>0.71265000000000001</v>
      </c>
      <c r="F101" s="14">
        <v>1.24E-3</v>
      </c>
      <c r="G101" s="14">
        <v>1.0890500000000001</v>
      </c>
      <c r="H101" s="14">
        <v>1.21895</v>
      </c>
      <c r="I101" s="14">
        <v>4.3825000000000003E-2</v>
      </c>
      <c r="J101" s="14">
        <v>9.9784999999999999E-2</v>
      </c>
      <c r="K101" s="14">
        <v>0.293765</v>
      </c>
      <c r="L101" s="14">
        <v>2.3009999999999999E-2</v>
      </c>
    </row>
    <row r="102" spans="1:12" x14ac:dyDescent="0.3">
      <c r="A102" s="61">
        <v>43976</v>
      </c>
      <c r="B102" s="14">
        <v>1.4664999999999999E-2</v>
      </c>
      <c r="C102" s="14">
        <v>0.65434999999999999</v>
      </c>
      <c r="D102" s="14">
        <v>0.17851500000000001</v>
      </c>
      <c r="E102" s="14">
        <v>0.71524999999999994</v>
      </c>
      <c r="F102" s="14">
        <v>1.24E-3</v>
      </c>
      <c r="G102" s="14">
        <v>1.08935</v>
      </c>
      <c r="H102" s="14">
        <v>1.2196</v>
      </c>
      <c r="I102" s="14">
        <v>4.4339999999999997E-2</v>
      </c>
      <c r="J102" s="14">
        <v>9.9400000000000002E-2</v>
      </c>
      <c r="K102" s="14">
        <v>0.293765</v>
      </c>
      <c r="L102" s="14">
        <v>2.3154999999999999E-2</v>
      </c>
    </row>
    <row r="103" spans="1:12" x14ac:dyDescent="0.3">
      <c r="A103" s="61">
        <v>43977</v>
      </c>
      <c r="B103" s="14">
        <v>1.464E-2</v>
      </c>
      <c r="C103" s="14">
        <v>0.66520000000000001</v>
      </c>
      <c r="D103" s="14">
        <v>0.17918999999999999</v>
      </c>
      <c r="E103" s="14">
        <v>0.72442499999999999</v>
      </c>
      <c r="F103" s="14">
        <v>1.25E-3</v>
      </c>
      <c r="G103" s="14">
        <v>1.0984499999999999</v>
      </c>
      <c r="H103" s="14">
        <v>1.2358499999999999</v>
      </c>
      <c r="I103" s="14">
        <v>4.4939999999999987E-2</v>
      </c>
      <c r="J103" s="14">
        <v>0.1012</v>
      </c>
      <c r="K103" s="14">
        <v>0.29183999999999999</v>
      </c>
      <c r="L103" s="14">
        <v>2.3144999999999999E-2</v>
      </c>
    </row>
    <row r="104" spans="1:12" x14ac:dyDescent="0.3">
      <c r="A104" s="61">
        <v>43978</v>
      </c>
      <c r="B104" s="14">
        <v>1.4619999999999999E-2</v>
      </c>
      <c r="C104" s="14">
        <v>0.65785000000000005</v>
      </c>
      <c r="D104" s="14">
        <v>0.1862</v>
      </c>
      <c r="E104" s="14">
        <v>0.72358500000000003</v>
      </c>
      <c r="F104" s="14">
        <v>1.2199999999999999E-3</v>
      </c>
      <c r="G104" s="14">
        <v>1.0972999999999999</v>
      </c>
      <c r="H104" s="14">
        <v>1.2213000000000001</v>
      </c>
      <c r="I104" s="14">
        <v>4.4554999999999997E-2</v>
      </c>
      <c r="J104" s="14">
        <v>0.10059</v>
      </c>
      <c r="K104" s="14">
        <v>0.29209499999999999</v>
      </c>
      <c r="L104" s="14">
        <v>2.3185000000000001E-2</v>
      </c>
    </row>
    <row r="105" spans="1:12" x14ac:dyDescent="0.3">
      <c r="A105" s="61">
        <v>43979</v>
      </c>
      <c r="B105" s="14">
        <v>1.4605E-2</v>
      </c>
      <c r="C105" s="14">
        <v>0.66595000000000004</v>
      </c>
      <c r="D105" s="14">
        <v>0.18870999999999999</v>
      </c>
      <c r="E105" s="14">
        <v>0.72668500000000003</v>
      </c>
      <c r="F105" s="14">
        <v>1.2199999999999999E-3</v>
      </c>
      <c r="G105" s="14">
        <v>1.10555</v>
      </c>
      <c r="H105" s="14">
        <v>1.232</v>
      </c>
      <c r="I105" s="14">
        <v>4.5030000000000001E-2</v>
      </c>
      <c r="J105" s="14">
        <v>0.1021</v>
      </c>
      <c r="K105" s="14">
        <v>0.28981000000000001</v>
      </c>
      <c r="L105" s="14">
        <v>2.3185000000000001E-2</v>
      </c>
    </row>
    <row r="106" spans="1:12" x14ac:dyDescent="0.3">
      <c r="A106" s="61">
        <v>43980</v>
      </c>
      <c r="B106" s="14">
        <v>1.46E-2</v>
      </c>
      <c r="C106" s="14">
        <v>0.66379999999999995</v>
      </c>
      <c r="D106" s="14">
        <v>0.18725</v>
      </c>
      <c r="E106" s="14">
        <v>0.72347499999999998</v>
      </c>
      <c r="F106" s="14">
        <v>1.24E-3</v>
      </c>
      <c r="G106" s="14">
        <v>1.1123499999999999</v>
      </c>
      <c r="H106" s="14">
        <v>1.2363</v>
      </c>
      <c r="I106" s="14">
        <v>4.5185000000000003E-2</v>
      </c>
      <c r="J106" s="14">
        <v>0.10287499999999999</v>
      </c>
      <c r="K106" s="14">
        <v>0.29056999999999999</v>
      </c>
      <c r="L106" s="14">
        <v>2.3125E-2</v>
      </c>
    </row>
    <row r="107" spans="1:12" x14ac:dyDescent="0.3">
      <c r="A107" s="61">
        <v>43981</v>
      </c>
      <c r="B107" s="14">
        <v>1.46E-2</v>
      </c>
      <c r="C107" s="14">
        <v>0.66379999999999995</v>
      </c>
      <c r="D107" s="14">
        <v>0.18725</v>
      </c>
      <c r="E107" s="14">
        <v>0.72347499999999998</v>
      </c>
      <c r="F107" s="14">
        <v>1.24E-3</v>
      </c>
      <c r="G107" s="14">
        <v>1.1123499999999999</v>
      </c>
      <c r="H107" s="14">
        <v>1.2363</v>
      </c>
      <c r="I107" s="14">
        <v>4.5185000000000003E-2</v>
      </c>
      <c r="J107" s="14">
        <v>0.10287499999999999</v>
      </c>
      <c r="K107" s="14">
        <v>0.29056999999999999</v>
      </c>
      <c r="L107" s="14">
        <v>2.3125E-2</v>
      </c>
    </row>
    <row r="108" spans="1:12" x14ac:dyDescent="0.3">
      <c r="A108" s="61">
        <v>43982</v>
      </c>
      <c r="B108" s="14">
        <v>1.46E-2</v>
      </c>
      <c r="C108" s="14">
        <v>0.66379999999999995</v>
      </c>
      <c r="D108" s="14">
        <v>0.18725</v>
      </c>
      <c r="E108" s="14">
        <v>0.72347499999999998</v>
      </c>
      <c r="F108" s="14">
        <v>1.24E-3</v>
      </c>
      <c r="G108" s="14">
        <v>1.1123499999999999</v>
      </c>
      <c r="H108" s="14">
        <v>1.2363</v>
      </c>
      <c r="I108" s="14">
        <v>4.5185000000000003E-2</v>
      </c>
      <c r="J108" s="14">
        <v>0.10287499999999999</v>
      </c>
      <c r="K108" s="14">
        <v>0.29056999999999999</v>
      </c>
      <c r="L108" s="14">
        <v>2.3125E-2</v>
      </c>
    </row>
    <row r="109" spans="1:12" x14ac:dyDescent="0.3">
      <c r="A109" s="61">
        <v>43983</v>
      </c>
      <c r="B109" s="14">
        <v>1.457E-2</v>
      </c>
      <c r="C109" s="14">
        <v>0.67854999999999999</v>
      </c>
      <c r="D109" s="14">
        <v>0.18429000000000001</v>
      </c>
      <c r="E109" s="14">
        <v>0.73421000000000003</v>
      </c>
      <c r="F109" s="14">
        <v>1.25E-3</v>
      </c>
      <c r="G109" s="14">
        <v>1.11375</v>
      </c>
      <c r="H109" s="14">
        <v>1.2483</v>
      </c>
      <c r="I109" s="14">
        <v>4.5519999999999998E-2</v>
      </c>
      <c r="J109" s="14">
        <v>0.10385999999999999</v>
      </c>
      <c r="K109" s="14">
        <v>0.29141499999999998</v>
      </c>
      <c r="L109" s="14">
        <v>2.3105000000000001E-2</v>
      </c>
    </row>
    <row r="110" spans="1:12" x14ac:dyDescent="0.3">
      <c r="A110" s="61">
        <v>43984</v>
      </c>
      <c r="B110" s="14">
        <v>1.455E-2</v>
      </c>
      <c r="C110" s="14">
        <v>0.68914999999999993</v>
      </c>
      <c r="D110" s="14">
        <v>0.18643999999999999</v>
      </c>
      <c r="E110" s="14">
        <v>0.74141999999999997</v>
      </c>
      <c r="F110" s="14">
        <v>1.2800000000000001E-3</v>
      </c>
      <c r="G110" s="14">
        <v>1.1183000000000001</v>
      </c>
      <c r="H110" s="14">
        <v>1.2557</v>
      </c>
      <c r="I110" s="14">
        <v>4.6219999999999997E-2</v>
      </c>
      <c r="J110" s="14">
        <v>0.10495</v>
      </c>
      <c r="K110" s="14">
        <v>0.29273500000000002</v>
      </c>
      <c r="L110" s="14">
        <v>2.3089999999999999E-2</v>
      </c>
    </row>
    <row r="111" spans="1:12" x14ac:dyDescent="0.3">
      <c r="A111" s="61">
        <v>43985</v>
      </c>
      <c r="B111" s="14">
        <v>1.453E-2</v>
      </c>
      <c r="C111" s="14">
        <v>0.69335000000000002</v>
      </c>
      <c r="D111" s="14">
        <v>0.19012000000000001</v>
      </c>
      <c r="E111" s="14">
        <v>0.74136500000000005</v>
      </c>
      <c r="F111" s="14">
        <v>1.2999999999999999E-3</v>
      </c>
      <c r="G111" s="14">
        <v>1.12195</v>
      </c>
      <c r="H111" s="14">
        <v>1.2596499999999999</v>
      </c>
      <c r="I111" s="14">
        <v>4.6299999999999987E-2</v>
      </c>
      <c r="J111" s="14">
        <v>0.10551000000000001</v>
      </c>
      <c r="K111" s="14">
        <v>0.29385499999999998</v>
      </c>
      <c r="L111" s="14">
        <v>2.3205E-2</v>
      </c>
    </row>
    <row r="112" spans="1:12" x14ac:dyDescent="0.3">
      <c r="A112" s="61">
        <v>43986</v>
      </c>
      <c r="B112" s="14">
        <v>1.451E-2</v>
      </c>
      <c r="C112" s="14">
        <v>0.69784999999999997</v>
      </c>
      <c r="D112" s="14">
        <v>0.197965</v>
      </c>
      <c r="E112" s="14">
        <v>0.74150000000000005</v>
      </c>
      <c r="F112" s="14">
        <v>1.2849999999999999E-3</v>
      </c>
      <c r="G112" s="14">
        <v>1.1344000000000001</v>
      </c>
      <c r="H112" s="14">
        <v>1.26075</v>
      </c>
      <c r="I112" s="14">
        <v>4.5969999999999997E-2</v>
      </c>
      <c r="J112" s="14">
        <v>0.107295</v>
      </c>
      <c r="K112" s="14">
        <v>0.29498000000000002</v>
      </c>
      <c r="L112" s="14">
        <v>2.3205E-2</v>
      </c>
    </row>
    <row r="113" spans="1:12" x14ac:dyDescent="0.3">
      <c r="A113" s="61">
        <v>43987</v>
      </c>
      <c r="B113" s="14">
        <v>1.4489999999999999E-2</v>
      </c>
      <c r="C113" s="14">
        <v>0.69825000000000004</v>
      </c>
      <c r="D113" s="14">
        <v>0.19592999999999999</v>
      </c>
      <c r="E113" s="14">
        <v>0.74573500000000004</v>
      </c>
      <c r="F113" s="14">
        <v>1.2999999999999999E-3</v>
      </c>
      <c r="G113" s="14">
        <v>1.1313500000000001</v>
      </c>
      <c r="H113" s="14">
        <v>1.2725500000000001</v>
      </c>
      <c r="I113" s="14">
        <v>4.6289999999999998E-2</v>
      </c>
      <c r="J113" s="14">
        <v>0.107655</v>
      </c>
      <c r="K113" s="14">
        <v>0.292265</v>
      </c>
      <c r="L113" s="14">
        <v>2.3335000000000002E-2</v>
      </c>
    </row>
    <row r="114" spans="1:12" x14ac:dyDescent="0.3">
      <c r="A114" s="61">
        <v>43988</v>
      </c>
      <c r="B114" s="14">
        <v>1.4489999999999999E-2</v>
      </c>
      <c r="C114" s="14">
        <v>0.69825000000000004</v>
      </c>
      <c r="D114" s="14">
        <v>0.19592999999999999</v>
      </c>
      <c r="E114" s="14">
        <v>0.74573500000000004</v>
      </c>
      <c r="F114" s="14">
        <v>1.2999999999999999E-3</v>
      </c>
      <c r="G114" s="14">
        <v>1.1313500000000001</v>
      </c>
      <c r="H114" s="14">
        <v>1.2725500000000001</v>
      </c>
      <c r="I114" s="14">
        <v>4.6289999999999998E-2</v>
      </c>
      <c r="J114" s="14">
        <v>0.107655</v>
      </c>
      <c r="K114" s="14">
        <v>0.292265</v>
      </c>
      <c r="L114" s="14">
        <v>2.3335000000000002E-2</v>
      </c>
    </row>
    <row r="115" spans="1:12" x14ac:dyDescent="0.3">
      <c r="A115" s="61">
        <v>43989</v>
      </c>
      <c r="B115" s="14">
        <v>1.4489999999999999E-2</v>
      </c>
      <c r="C115" s="14">
        <v>0.69825000000000004</v>
      </c>
      <c r="D115" s="14">
        <v>0.19592999999999999</v>
      </c>
      <c r="E115" s="14">
        <v>0.74573500000000004</v>
      </c>
      <c r="F115" s="14">
        <v>1.2999999999999999E-3</v>
      </c>
      <c r="G115" s="14">
        <v>1.1313500000000001</v>
      </c>
      <c r="H115" s="14">
        <v>1.2725500000000001</v>
      </c>
      <c r="I115" s="14">
        <v>4.6289999999999998E-2</v>
      </c>
      <c r="J115" s="14">
        <v>0.107655</v>
      </c>
      <c r="K115" s="14">
        <v>0.292265</v>
      </c>
      <c r="L115" s="14">
        <v>2.3335000000000002E-2</v>
      </c>
    </row>
    <row r="116" spans="1:12" x14ac:dyDescent="0.3">
      <c r="A116" s="61">
        <v>43990</v>
      </c>
      <c r="B116" s="14">
        <v>1.447E-2</v>
      </c>
      <c r="C116" s="14">
        <v>0.69864999999999999</v>
      </c>
      <c r="D116" s="14">
        <v>0.20091000000000001</v>
      </c>
      <c r="E116" s="14">
        <v>0.74693000000000009</v>
      </c>
      <c r="F116" s="14">
        <v>1.2899999999999999E-3</v>
      </c>
      <c r="G116" s="14">
        <v>1.1301000000000001</v>
      </c>
      <c r="H116" s="14">
        <v>1.2698</v>
      </c>
      <c r="I116" s="14">
        <v>4.6085000000000001E-2</v>
      </c>
      <c r="J116" s="14">
        <v>0.10774499999999999</v>
      </c>
      <c r="K116" s="14">
        <v>0.29171000000000002</v>
      </c>
      <c r="L116" s="14">
        <v>2.3465E-2</v>
      </c>
    </row>
    <row r="117" spans="1:12" x14ac:dyDescent="0.3">
      <c r="A117" s="61">
        <v>43991</v>
      </c>
      <c r="B117" s="14">
        <v>1.4449999999999999E-2</v>
      </c>
      <c r="C117" s="14">
        <v>0.69745000000000001</v>
      </c>
      <c r="D117" s="14">
        <v>0.20272000000000001</v>
      </c>
      <c r="E117" s="14">
        <v>0.74486999999999992</v>
      </c>
      <c r="F117" s="14">
        <v>1.2899999999999999E-3</v>
      </c>
      <c r="G117" s="14">
        <v>1.1354500000000001</v>
      </c>
      <c r="H117" s="14">
        <v>1.2722500000000001</v>
      </c>
      <c r="I117" s="14">
        <v>4.616E-2</v>
      </c>
      <c r="J117" s="14">
        <v>0.10792</v>
      </c>
      <c r="K117" s="14">
        <v>0.29073500000000002</v>
      </c>
      <c r="L117" s="14">
        <v>2.3595000000000001E-2</v>
      </c>
    </row>
    <row r="118" spans="1:12" x14ac:dyDescent="0.3">
      <c r="A118" s="61">
        <v>43992</v>
      </c>
      <c r="B118" s="14">
        <v>1.4435E-2</v>
      </c>
      <c r="C118" s="14">
        <v>0.69904999999999995</v>
      </c>
      <c r="D118" s="14">
        <v>0.20385</v>
      </c>
      <c r="E118" s="14">
        <v>0.74459999999999993</v>
      </c>
      <c r="F118" s="14">
        <v>1.2999999999999999E-3</v>
      </c>
      <c r="G118" s="14">
        <v>1.1352</v>
      </c>
      <c r="H118" s="14">
        <v>1.2755000000000001</v>
      </c>
      <c r="I118" s="14">
        <v>4.5475000000000002E-2</v>
      </c>
      <c r="J118" s="14">
        <v>0.10671</v>
      </c>
      <c r="K118" s="14">
        <v>0.29005999999999998</v>
      </c>
      <c r="L118" s="14">
        <v>2.3369999999999998E-2</v>
      </c>
    </row>
    <row r="119" spans="1:12" x14ac:dyDescent="0.3">
      <c r="A119" s="61">
        <v>43993</v>
      </c>
      <c r="B119" s="14">
        <v>1.4420000000000001E-2</v>
      </c>
      <c r="C119" s="14">
        <v>0.69015000000000004</v>
      </c>
      <c r="D119" s="14">
        <v>0.20452999999999999</v>
      </c>
      <c r="E119" s="14">
        <v>0.73811000000000004</v>
      </c>
      <c r="F119" s="14">
        <v>1.2700000000000001E-3</v>
      </c>
      <c r="G119" s="14">
        <v>1.1380999999999999</v>
      </c>
      <c r="H119" s="14">
        <v>1.2643</v>
      </c>
      <c r="I119" s="14">
        <v>4.4639999999999999E-2</v>
      </c>
      <c r="J119" s="14">
        <v>0.105255</v>
      </c>
      <c r="K119" s="14">
        <v>0.29103499999999999</v>
      </c>
      <c r="L119" s="14">
        <v>2.3345000000000001E-2</v>
      </c>
    </row>
    <row r="120" spans="1:12" x14ac:dyDescent="0.3">
      <c r="A120" s="61">
        <v>43994</v>
      </c>
      <c r="B120" s="14">
        <v>1.4409999999999999E-2</v>
      </c>
      <c r="C120" s="14">
        <v>0.68405000000000005</v>
      </c>
      <c r="D120" s="14">
        <v>0.20452999999999999</v>
      </c>
      <c r="E120" s="14">
        <v>0.7347999999999999</v>
      </c>
      <c r="F120" s="14">
        <v>1.2600000000000001E-3</v>
      </c>
      <c r="G120" s="14">
        <v>1.1246499999999999</v>
      </c>
      <c r="H120" s="14">
        <v>1.254</v>
      </c>
      <c r="I120" s="14">
        <v>4.4554999999999997E-2</v>
      </c>
      <c r="J120" s="14">
        <v>0.103565</v>
      </c>
      <c r="K120" s="14">
        <v>0.28976499999999999</v>
      </c>
      <c r="L120" s="14">
        <v>2.3195E-2</v>
      </c>
    </row>
    <row r="121" spans="1:12" x14ac:dyDescent="0.3">
      <c r="A121" s="61">
        <v>43995</v>
      </c>
      <c r="B121" s="14">
        <v>1.4409999999999999E-2</v>
      </c>
      <c r="C121" s="14">
        <v>0.68405000000000005</v>
      </c>
      <c r="D121" s="14">
        <v>0.20452999999999999</v>
      </c>
      <c r="E121" s="14">
        <v>0.7347999999999999</v>
      </c>
      <c r="F121" s="14">
        <v>1.2600000000000001E-3</v>
      </c>
      <c r="G121" s="14">
        <v>1.1246499999999999</v>
      </c>
      <c r="H121" s="14">
        <v>1.254</v>
      </c>
      <c r="I121" s="14">
        <v>4.4554999999999997E-2</v>
      </c>
      <c r="J121" s="14">
        <v>0.103565</v>
      </c>
      <c r="K121" s="14">
        <v>0.28976499999999999</v>
      </c>
      <c r="L121" s="14">
        <v>2.3195E-2</v>
      </c>
    </row>
    <row r="122" spans="1:12" x14ac:dyDescent="0.3">
      <c r="A122" s="61">
        <v>43996</v>
      </c>
      <c r="B122" s="14">
        <v>1.4409999999999999E-2</v>
      </c>
      <c r="C122" s="14">
        <v>0.68405000000000005</v>
      </c>
      <c r="D122" s="14">
        <v>0.20452999999999999</v>
      </c>
      <c r="E122" s="14">
        <v>0.7347999999999999</v>
      </c>
      <c r="F122" s="14">
        <v>1.2600000000000001E-3</v>
      </c>
      <c r="G122" s="14">
        <v>1.1246499999999999</v>
      </c>
      <c r="H122" s="14">
        <v>1.254</v>
      </c>
      <c r="I122" s="14">
        <v>4.4554999999999997E-2</v>
      </c>
      <c r="J122" s="14">
        <v>0.103565</v>
      </c>
      <c r="K122" s="14">
        <v>0.28976499999999999</v>
      </c>
      <c r="L122" s="14">
        <v>2.3195E-2</v>
      </c>
    </row>
    <row r="123" spans="1:12" x14ac:dyDescent="0.3">
      <c r="A123" s="61">
        <v>43997</v>
      </c>
      <c r="B123" s="14">
        <v>1.4420000000000001E-2</v>
      </c>
      <c r="C123" s="14">
        <v>0.68559999999999999</v>
      </c>
      <c r="D123" s="14">
        <v>0.20452999999999999</v>
      </c>
      <c r="E123" s="14">
        <v>0.73407500000000003</v>
      </c>
      <c r="F123" s="14">
        <v>1.24E-3</v>
      </c>
      <c r="G123" s="14">
        <v>1.1274500000000001</v>
      </c>
      <c r="H123" s="14">
        <v>1.25665</v>
      </c>
      <c r="I123" s="14">
        <v>4.4214999999999997E-2</v>
      </c>
      <c r="J123" s="14">
        <v>0.10414</v>
      </c>
      <c r="K123" s="14">
        <v>0.28976499999999999</v>
      </c>
      <c r="L123" s="14">
        <v>2.3195E-2</v>
      </c>
    </row>
    <row r="124" spans="1:12" x14ac:dyDescent="0.3">
      <c r="A124" s="61">
        <v>43998</v>
      </c>
      <c r="B124" s="14">
        <v>1.436E-2</v>
      </c>
      <c r="C124" s="14">
        <v>0.68440000000000001</v>
      </c>
      <c r="D124" s="14">
        <v>0.19852500000000001</v>
      </c>
      <c r="E124" s="14">
        <v>0.73466999999999993</v>
      </c>
      <c r="F124" s="14">
        <v>1.2800000000000001E-3</v>
      </c>
      <c r="G124" s="14">
        <v>1.12375</v>
      </c>
      <c r="H124" s="14">
        <v>1.25675</v>
      </c>
      <c r="I124" s="14">
        <v>4.4839999999999998E-2</v>
      </c>
      <c r="J124" s="14">
        <v>0.10416</v>
      </c>
      <c r="K124" s="14">
        <v>0.28884500000000002</v>
      </c>
      <c r="L124" s="14">
        <v>2.3335000000000002E-2</v>
      </c>
    </row>
    <row r="125" spans="1:12" x14ac:dyDescent="0.3">
      <c r="A125" s="61">
        <v>43999</v>
      </c>
      <c r="B125" s="14">
        <v>1.436E-2</v>
      </c>
      <c r="C125" s="14">
        <v>0.69145000000000001</v>
      </c>
      <c r="D125" s="14">
        <v>0.194995</v>
      </c>
      <c r="E125" s="14">
        <v>0.73775999999999997</v>
      </c>
      <c r="F125" s="14">
        <v>1.25E-3</v>
      </c>
      <c r="G125" s="14">
        <v>1.12225</v>
      </c>
      <c r="H125" s="14">
        <v>1.254</v>
      </c>
      <c r="I125" s="14">
        <v>4.4859999999999997E-2</v>
      </c>
      <c r="J125" s="14">
        <v>0.10496</v>
      </c>
      <c r="K125" s="14">
        <v>0.28776499999999999</v>
      </c>
      <c r="L125" s="14">
        <v>2.3494999999999999E-2</v>
      </c>
    </row>
    <row r="126" spans="1:12" x14ac:dyDescent="0.3">
      <c r="A126" s="61">
        <v>44000</v>
      </c>
      <c r="B126" s="14">
        <v>1.4335000000000001E-2</v>
      </c>
      <c r="C126" s="14">
        <v>0.68630000000000002</v>
      </c>
      <c r="D126" s="14">
        <v>0.19048499999999999</v>
      </c>
      <c r="E126" s="14">
        <v>0.73675000000000002</v>
      </c>
      <c r="F126" s="14">
        <v>1.2199999999999999E-3</v>
      </c>
      <c r="G126" s="14">
        <v>1.12195</v>
      </c>
      <c r="H126" s="14">
        <v>1.2417</v>
      </c>
      <c r="I126" s="14">
        <v>4.4325000000000003E-2</v>
      </c>
      <c r="J126" s="14">
        <v>0.10506500000000001</v>
      </c>
      <c r="K126" s="14">
        <v>0.28636499999999998</v>
      </c>
      <c r="L126" s="14">
        <v>2.3535E-2</v>
      </c>
    </row>
    <row r="127" spans="1:12" x14ac:dyDescent="0.3">
      <c r="A127" s="61">
        <v>44001</v>
      </c>
      <c r="B127" s="14">
        <v>1.4319999999999999E-2</v>
      </c>
      <c r="C127" s="14">
        <v>0.68615000000000004</v>
      </c>
      <c r="D127" s="14">
        <v>0.18703</v>
      </c>
      <c r="E127" s="14">
        <v>0.73710500000000001</v>
      </c>
      <c r="F127" s="14">
        <v>1.2099999999999999E-3</v>
      </c>
      <c r="G127" s="14">
        <v>1.11835</v>
      </c>
      <c r="H127" s="14">
        <v>1.2363999999999999</v>
      </c>
      <c r="I127" s="14">
        <v>4.4264999999999999E-2</v>
      </c>
      <c r="J127" s="14">
        <v>0.104115</v>
      </c>
      <c r="K127" s="14">
        <v>0.28501500000000002</v>
      </c>
      <c r="L127" s="14">
        <v>2.3435000000000001E-2</v>
      </c>
    </row>
    <row r="128" spans="1:12" x14ac:dyDescent="0.3">
      <c r="A128" s="61">
        <v>44002</v>
      </c>
      <c r="B128" s="14">
        <v>1.4319999999999999E-2</v>
      </c>
      <c r="C128" s="14">
        <v>0.68615000000000004</v>
      </c>
      <c r="D128" s="14">
        <v>0.18703</v>
      </c>
      <c r="E128" s="14">
        <v>0.73710500000000001</v>
      </c>
      <c r="F128" s="14">
        <v>1.2099999999999999E-3</v>
      </c>
      <c r="G128" s="14">
        <v>1.11835</v>
      </c>
      <c r="H128" s="14">
        <v>1.2363999999999999</v>
      </c>
      <c r="I128" s="14">
        <v>4.4264999999999999E-2</v>
      </c>
      <c r="J128" s="14">
        <v>0.104115</v>
      </c>
      <c r="K128" s="14">
        <v>0.28501500000000002</v>
      </c>
      <c r="L128" s="14">
        <v>2.3435000000000001E-2</v>
      </c>
    </row>
    <row r="129" spans="1:12" x14ac:dyDescent="0.3">
      <c r="A129" s="61">
        <v>44003</v>
      </c>
      <c r="B129" s="14">
        <v>1.4319999999999999E-2</v>
      </c>
      <c r="C129" s="14">
        <v>0.68615000000000004</v>
      </c>
      <c r="D129" s="14">
        <v>0.18703</v>
      </c>
      <c r="E129" s="14">
        <v>0.73710500000000001</v>
      </c>
      <c r="F129" s="14">
        <v>1.2099999999999999E-3</v>
      </c>
      <c r="G129" s="14">
        <v>1.11835</v>
      </c>
      <c r="H129" s="14">
        <v>1.2363999999999999</v>
      </c>
      <c r="I129" s="14">
        <v>4.4264999999999999E-2</v>
      </c>
      <c r="J129" s="14">
        <v>0.104115</v>
      </c>
      <c r="K129" s="14">
        <v>0.28501500000000002</v>
      </c>
      <c r="L129" s="14">
        <v>2.3435000000000001E-2</v>
      </c>
    </row>
    <row r="130" spans="1:12" x14ac:dyDescent="0.3">
      <c r="A130" s="61">
        <v>44004</v>
      </c>
      <c r="B130" s="14">
        <v>1.4285000000000001E-2</v>
      </c>
      <c r="C130" s="14">
        <v>0.68945000000000001</v>
      </c>
      <c r="D130" s="14">
        <v>0.18703</v>
      </c>
      <c r="E130" s="14">
        <v>0.73778500000000002</v>
      </c>
      <c r="F130" s="14">
        <v>1.2199999999999999E-3</v>
      </c>
      <c r="G130" s="14">
        <v>1.1248499999999999</v>
      </c>
      <c r="H130" s="14">
        <v>1.24465</v>
      </c>
      <c r="I130" s="14">
        <v>4.4554999999999997E-2</v>
      </c>
      <c r="J130" s="14">
        <v>0.10389</v>
      </c>
      <c r="K130" s="14">
        <v>0.28501500000000002</v>
      </c>
      <c r="L130" s="14">
        <v>2.3435000000000001E-2</v>
      </c>
    </row>
    <row r="131" spans="1:12" x14ac:dyDescent="0.3">
      <c r="A131" s="61">
        <v>44005</v>
      </c>
      <c r="B131" s="14">
        <v>1.427E-2</v>
      </c>
      <c r="C131" s="14">
        <v>0.69605000000000006</v>
      </c>
      <c r="D131" s="14">
        <v>0.18704000000000001</v>
      </c>
      <c r="E131" s="14">
        <v>0.74056999999999995</v>
      </c>
      <c r="F131" s="14">
        <v>1.2149999999999999E-3</v>
      </c>
      <c r="G131" s="14">
        <v>1.1333500000000001</v>
      </c>
      <c r="H131" s="14">
        <v>1.2524</v>
      </c>
      <c r="I131" s="14">
        <v>4.4665000000000003E-2</v>
      </c>
      <c r="J131" s="14">
        <v>0.10564</v>
      </c>
      <c r="K131" s="14">
        <v>0.284775</v>
      </c>
      <c r="L131" s="14">
        <v>2.358E-2</v>
      </c>
    </row>
    <row r="132" spans="1:12" x14ac:dyDescent="0.3">
      <c r="A132" s="61">
        <v>44006</v>
      </c>
      <c r="B132" s="14">
        <v>1.426E-2</v>
      </c>
      <c r="C132" s="14">
        <v>0.68969999999999998</v>
      </c>
      <c r="D132" s="14">
        <v>0.19341</v>
      </c>
      <c r="E132" s="14">
        <v>0.7369699999999999</v>
      </c>
      <c r="F132" s="14">
        <v>1.2099999999999999E-3</v>
      </c>
      <c r="G132" s="14">
        <v>1.1275500000000001</v>
      </c>
      <c r="H132" s="14">
        <v>1.2448999999999999</v>
      </c>
      <c r="I132" s="14">
        <v>4.4290000000000003E-2</v>
      </c>
      <c r="J132" s="14">
        <v>0.10428999999999999</v>
      </c>
      <c r="K132" s="14">
        <v>0.28444999999999998</v>
      </c>
      <c r="L132" s="14">
        <v>2.3734999999999999E-2</v>
      </c>
    </row>
    <row r="133" spans="1:12" x14ac:dyDescent="0.3">
      <c r="A133" s="61">
        <v>44007</v>
      </c>
      <c r="B133" s="14">
        <v>1.4250000000000001E-2</v>
      </c>
      <c r="C133" s="14">
        <v>0.68595000000000006</v>
      </c>
      <c r="D133" s="14">
        <v>0.19072</v>
      </c>
      <c r="E133" s="14">
        <v>0.73241000000000001</v>
      </c>
      <c r="F133" s="14">
        <v>1.23E-3</v>
      </c>
      <c r="G133" s="14">
        <v>1.1213500000000001</v>
      </c>
      <c r="H133" s="14">
        <v>1.2404999999999999</v>
      </c>
      <c r="I133" s="14">
        <v>4.3779999999999999E-2</v>
      </c>
      <c r="J133" s="14">
        <v>0.10303</v>
      </c>
      <c r="K133" s="14">
        <v>0.28355999999999998</v>
      </c>
      <c r="L133" s="14">
        <v>2.3734999999999999E-2</v>
      </c>
    </row>
    <row r="134" spans="1:12" x14ac:dyDescent="0.3">
      <c r="A134" s="61">
        <v>44008</v>
      </c>
      <c r="B134" s="14">
        <v>1.4239999999999999E-2</v>
      </c>
      <c r="C134" s="14">
        <v>0.68454999999999999</v>
      </c>
      <c r="D134" s="14">
        <v>0.18767</v>
      </c>
      <c r="E134" s="14">
        <v>0.72914999999999996</v>
      </c>
      <c r="F134" s="14">
        <v>1.2199999999999999E-3</v>
      </c>
      <c r="G134" s="14">
        <v>1.1202000000000001</v>
      </c>
      <c r="H134" s="14">
        <v>1.2317499999999999</v>
      </c>
      <c r="I134" s="14">
        <v>4.3499999999999997E-2</v>
      </c>
      <c r="J134" s="14">
        <v>0.10256</v>
      </c>
      <c r="K134" s="14">
        <v>0.28481499999999998</v>
      </c>
      <c r="L134" s="14">
        <v>2.375E-2</v>
      </c>
    </row>
    <row r="135" spans="1:12" x14ac:dyDescent="0.3">
      <c r="A135" s="61">
        <v>44009</v>
      </c>
      <c r="B135" s="14">
        <v>1.4239999999999999E-2</v>
      </c>
      <c r="C135" s="14">
        <v>0.68454999999999999</v>
      </c>
      <c r="D135" s="14">
        <v>0.18767</v>
      </c>
      <c r="E135" s="14">
        <v>0.72914999999999996</v>
      </c>
      <c r="F135" s="14">
        <v>1.2199999999999999E-3</v>
      </c>
      <c r="G135" s="14">
        <v>1.1202000000000001</v>
      </c>
      <c r="H135" s="14">
        <v>1.2317499999999999</v>
      </c>
      <c r="I135" s="14">
        <v>4.3499999999999997E-2</v>
      </c>
      <c r="J135" s="14">
        <v>0.10256</v>
      </c>
      <c r="K135" s="14">
        <v>0.28481499999999998</v>
      </c>
      <c r="L135" s="14">
        <v>2.375E-2</v>
      </c>
    </row>
    <row r="136" spans="1:12" x14ac:dyDescent="0.3">
      <c r="A136" s="61">
        <v>44010</v>
      </c>
      <c r="B136" s="14">
        <v>1.4239999999999999E-2</v>
      </c>
      <c r="C136" s="14">
        <v>0.68454999999999999</v>
      </c>
      <c r="D136" s="14">
        <v>0.18767</v>
      </c>
      <c r="E136" s="14">
        <v>0.72914999999999996</v>
      </c>
      <c r="F136" s="14">
        <v>1.2199999999999999E-3</v>
      </c>
      <c r="G136" s="14">
        <v>1.1202000000000001</v>
      </c>
      <c r="H136" s="14">
        <v>1.2317499999999999</v>
      </c>
      <c r="I136" s="14">
        <v>4.3499999999999997E-2</v>
      </c>
      <c r="J136" s="14">
        <v>0.10256</v>
      </c>
      <c r="K136" s="14">
        <v>0.28481499999999998</v>
      </c>
      <c r="L136" s="14">
        <v>2.375E-2</v>
      </c>
    </row>
    <row r="137" spans="1:12" x14ac:dyDescent="0.3">
      <c r="A137" s="61">
        <v>44011</v>
      </c>
      <c r="B137" s="14">
        <v>1.4200000000000001E-2</v>
      </c>
      <c r="C137" s="14">
        <v>0.68535000000000001</v>
      </c>
      <c r="D137" s="14">
        <v>0.18767</v>
      </c>
      <c r="E137" s="14">
        <v>0.72997500000000004</v>
      </c>
      <c r="F137" s="14">
        <v>1.2199999999999999E-3</v>
      </c>
      <c r="G137" s="14">
        <v>1.1246</v>
      </c>
      <c r="H137" s="14">
        <v>1.2267999999999999</v>
      </c>
      <c r="I137" s="14">
        <v>4.3200000000000002E-2</v>
      </c>
      <c r="J137" s="14">
        <v>0.10312499999999999</v>
      </c>
      <c r="K137" s="14">
        <v>0.28481499999999998</v>
      </c>
      <c r="L137" s="14">
        <v>2.375E-2</v>
      </c>
    </row>
    <row r="138" spans="1:12" x14ac:dyDescent="0.3">
      <c r="A138" s="61">
        <v>44012</v>
      </c>
      <c r="B138" s="14">
        <v>1.4189999999999999E-2</v>
      </c>
      <c r="C138" s="14">
        <v>0.6885</v>
      </c>
      <c r="D138" s="14">
        <v>0.18306</v>
      </c>
      <c r="E138" s="14">
        <v>0.73421000000000003</v>
      </c>
      <c r="F138" s="14">
        <v>1.2099999999999999E-3</v>
      </c>
      <c r="G138" s="14">
        <v>1.1231500000000001</v>
      </c>
      <c r="H138" s="14">
        <v>1.2356</v>
      </c>
      <c r="I138" s="14">
        <v>4.3270000000000003E-2</v>
      </c>
      <c r="J138" s="14">
        <v>0.103655</v>
      </c>
      <c r="K138" s="14">
        <v>0.284165</v>
      </c>
      <c r="L138" s="14">
        <v>2.3689999999999999E-2</v>
      </c>
    </row>
    <row r="139" spans="1:12" x14ac:dyDescent="0.3">
      <c r="A139" s="61">
        <v>44013</v>
      </c>
      <c r="B139" s="14">
        <v>1.418E-2</v>
      </c>
      <c r="C139" s="14">
        <v>0.69225000000000003</v>
      </c>
      <c r="D139" s="14">
        <v>0.18262</v>
      </c>
      <c r="E139" s="14">
        <v>0.73721499999999995</v>
      </c>
      <c r="F139" s="14">
        <v>1.2199999999999999E-3</v>
      </c>
      <c r="G139" s="14">
        <v>1.1261000000000001</v>
      </c>
      <c r="H139" s="14">
        <v>1.2458</v>
      </c>
      <c r="I139" s="14">
        <v>4.3895000000000003E-2</v>
      </c>
      <c r="J139" s="14">
        <v>0.104995</v>
      </c>
      <c r="K139" s="14">
        <v>0.28267999999999999</v>
      </c>
      <c r="L139" s="14">
        <v>2.3775000000000001E-2</v>
      </c>
    </row>
    <row r="140" spans="1:12" x14ac:dyDescent="0.3">
      <c r="A140" s="61">
        <v>44014</v>
      </c>
      <c r="B140" s="14">
        <v>1.4165000000000001E-2</v>
      </c>
      <c r="C140" s="14">
        <v>0.69100000000000006</v>
      </c>
      <c r="D140" s="14">
        <v>0.18639</v>
      </c>
      <c r="E140" s="14">
        <v>0.73487999999999998</v>
      </c>
      <c r="F140" s="14">
        <v>1.24E-3</v>
      </c>
      <c r="G140" s="14">
        <v>1.1228499999999999</v>
      </c>
      <c r="H140" s="14">
        <v>1.2465999999999999</v>
      </c>
      <c r="I140" s="14">
        <v>4.4345000000000002E-2</v>
      </c>
      <c r="J140" s="14">
        <v>0.104795</v>
      </c>
      <c r="K140" s="14">
        <v>0.28288000000000002</v>
      </c>
      <c r="L140" s="14">
        <v>2.3654999999999999E-2</v>
      </c>
    </row>
    <row r="141" spans="1:12" x14ac:dyDescent="0.3">
      <c r="A141" s="61">
        <v>44015</v>
      </c>
      <c r="B141" s="14">
        <v>1.4149999999999999E-2</v>
      </c>
      <c r="C141" s="14">
        <v>0.69384999999999997</v>
      </c>
      <c r="D141" s="14">
        <v>0.188585</v>
      </c>
      <c r="E141" s="14">
        <v>0.73653499999999994</v>
      </c>
      <c r="F141" s="14">
        <v>1.25E-3</v>
      </c>
      <c r="G141" s="14">
        <v>1.12425</v>
      </c>
      <c r="H141" s="14">
        <v>1.24675</v>
      </c>
      <c r="I141" s="14">
        <v>4.4550000000000013E-2</v>
      </c>
      <c r="J141" s="14">
        <v>0.10536</v>
      </c>
      <c r="K141" s="14">
        <v>0.28433000000000003</v>
      </c>
      <c r="L141" s="14">
        <v>2.3484999999999999E-2</v>
      </c>
    </row>
    <row r="142" spans="1:12" x14ac:dyDescent="0.3">
      <c r="A142" s="61">
        <v>44016</v>
      </c>
      <c r="B142" s="14">
        <v>1.4149999999999999E-2</v>
      </c>
      <c r="C142" s="14">
        <v>0.69384999999999997</v>
      </c>
      <c r="D142" s="14">
        <v>0.188585</v>
      </c>
      <c r="E142" s="14">
        <v>0.73653499999999994</v>
      </c>
      <c r="F142" s="14">
        <v>1.25E-3</v>
      </c>
      <c r="G142" s="14">
        <v>1.12425</v>
      </c>
      <c r="H142" s="14">
        <v>1.24675</v>
      </c>
      <c r="I142" s="14">
        <v>4.4550000000000013E-2</v>
      </c>
      <c r="J142" s="14">
        <v>0.10536</v>
      </c>
      <c r="K142" s="14">
        <v>0.28433000000000003</v>
      </c>
      <c r="L142" s="14">
        <v>2.3484999999999999E-2</v>
      </c>
    </row>
    <row r="143" spans="1:12" x14ac:dyDescent="0.3">
      <c r="A143" s="61">
        <v>44017</v>
      </c>
      <c r="B143" s="14">
        <v>1.4149999999999999E-2</v>
      </c>
      <c r="C143" s="14">
        <v>0.69384999999999997</v>
      </c>
      <c r="D143" s="14">
        <v>0.188585</v>
      </c>
      <c r="E143" s="14">
        <v>0.73653499999999994</v>
      </c>
      <c r="F143" s="14">
        <v>1.25E-3</v>
      </c>
      <c r="G143" s="14">
        <v>1.12425</v>
      </c>
      <c r="H143" s="14">
        <v>1.24675</v>
      </c>
      <c r="I143" s="14">
        <v>4.4550000000000013E-2</v>
      </c>
      <c r="J143" s="14">
        <v>0.10536</v>
      </c>
      <c r="K143" s="14">
        <v>0.28433000000000003</v>
      </c>
      <c r="L143" s="14">
        <v>2.3484999999999999E-2</v>
      </c>
    </row>
    <row r="144" spans="1:12" x14ac:dyDescent="0.3">
      <c r="A144" s="61">
        <v>44018</v>
      </c>
      <c r="B144" s="14">
        <v>1.4115000000000001E-2</v>
      </c>
      <c r="C144" s="14">
        <v>0.69864999999999999</v>
      </c>
      <c r="D144" s="14">
        <v>0.18736</v>
      </c>
      <c r="E144" s="14">
        <v>0.7389</v>
      </c>
      <c r="F144" s="14">
        <v>1.25E-3</v>
      </c>
      <c r="G144" s="14">
        <v>1.13175</v>
      </c>
      <c r="H144" s="14">
        <v>1.2509999999999999</v>
      </c>
      <c r="I144" s="14">
        <v>4.4905E-2</v>
      </c>
      <c r="J144" s="14">
        <v>0.10659</v>
      </c>
      <c r="K144" s="14">
        <v>0.28355999999999998</v>
      </c>
      <c r="L144" s="14">
        <v>2.3335000000000002E-2</v>
      </c>
    </row>
    <row r="145" spans="1:12" x14ac:dyDescent="0.3">
      <c r="A145" s="61">
        <v>44019</v>
      </c>
      <c r="B145" s="14">
        <v>1.4115000000000001E-2</v>
      </c>
      <c r="C145" s="14">
        <v>0.69684999999999997</v>
      </c>
      <c r="D145" s="14">
        <v>0.18837999999999999</v>
      </c>
      <c r="E145" s="14">
        <v>0.736155</v>
      </c>
      <c r="F145" s="14">
        <v>1.2600000000000001E-3</v>
      </c>
      <c r="G145" s="14">
        <v>1.1285499999999999</v>
      </c>
      <c r="H145" s="14">
        <v>1.2575000000000001</v>
      </c>
      <c r="I145" s="14">
        <v>4.4185000000000002E-2</v>
      </c>
      <c r="J145" s="14">
        <v>0.10581</v>
      </c>
      <c r="K145" s="14">
        <v>0.28188000000000002</v>
      </c>
      <c r="L145" s="14">
        <v>2.2984999999999998E-2</v>
      </c>
    </row>
    <row r="146" spans="1:12" x14ac:dyDescent="0.3">
      <c r="A146" s="61">
        <v>44020</v>
      </c>
      <c r="B146" s="14">
        <v>1.409E-2</v>
      </c>
      <c r="C146" s="14">
        <v>0.69664999999999999</v>
      </c>
      <c r="D146" s="14">
        <v>0.18756</v>
      </c>
      <c r="E146" s="14">
        <v>0.73870999999999998</v>
      </c>
      <c r="F146" s="14">
        <v>1.2700000000000001E-3</v>
      </c>
      <c r="G146" s="14">
        <v>1.1327499999999999</v>
      </c>
      <c r="H146" s="14">
        <v>1.2594000000000001</v>
      </c>
      <c r="I146" s="14">
        <v>4.385E-2</v>
      </c>
      <c r="J146" s="14">
        <v>0.10632999999999999</v>
      </c>
      <c r="K146" s="14">
        <v>0.28211999999999998</v>
      </c>
      <c r="L146" s="14">
        <v>2.2945E-2</v>
      </c>
    </row>
    <row r="147" spans="1:12" x14ac:dyDescent="0.3">
      <c r="A147" s="61">
        <v>44021</v>
      </c>
      <c r="B147" s="14">
        <v>1.41E-2</v>
      </c>
      <c r="C147" s="14">
        <v>0.69615000000000005</v>
      </c>
      <c r="D147" s="14">
        <v>0.18698000000000001</v>
      </c>
      <c r="E147" s="14">
        <v>0.73691499999999999</v>
      </c>
      <c r="F147" s="14">
        <v>1.2750000000000001E-3</v>
      </c>
      <c r="G147" s="14">
        <v>1.1293500000000001</v>
      </c>
      <c r="H147" s="14">
        <v>1.2615499999999999</v>
      </c>
      <c r="I147" s="14">
        <v>4.4060000000000002E-2</v>
      </c>
      <c r="J147" s="14">
        <v>0.10595</v>
      </c>
      <c r="K147" s="14">
        <v>0.28283999999999998</v>
      </c>
      <c r="L147" s="14">
        <v>2.2915000000000001E-2</v>
      </c>
    </row>
    <row r="148" spans="1:12" x14ac:dyDescent="0.3">
      <c r="A148" s="61">
        <v>44022</v>
      </c>
      <c r="B148" s="14">
        <v>1.41E-2</v>
      </c>
      <c r="C148" s="14">
        <v>0.69589999999999996</v>
      </c>
      <c r="D148" s="14">
        <v>0.18876000000000001</v>
      </c>
      <c r="E148" s="14">
        <v>0.73605000000000009</v>
      </c>
      <c r="F148" s="14">
        <v>1.2600000000000001E-3</v>
      </c>
      <c r="G148" s="14">
        <v>1.13185</v>
      </c>
      <c r="H148" s="14">
        <v>1.2661</v>
      </c>
      <c r="I148" s="14">
        <v>4.4354999999999999E-2</v>
      </c>
      <c r="J148" s="14">
        <v>0.10616</v>
      </c>
      <c r="K148" s="14">
        <v>0.28404499999999999</v>
      </c>
      <c r="L148" s="14">
        <v>2.2890000000000001E-2</v>
      </c>
    </row>
    <row r="149" spans="1:12" x14ac:dyDescent="0.3">
      <c r="A149" s="61">
        <v>44023</v>
      </c>
      <c r="B149" s="14">
        <v>1.41E-2</v>
      </c>
      <c r="C149" s="14">
        <v>0.69589999999999996</v>
      </c>
      <c r="D149" s="14">
        <v>0.18876000000000001</v>
      </c>
      <c r="E149" s="14">
        <v>0.73605000000000009</v>
      </c>
      <c r="F149" s="14">
        <v>1.2600000000000001E-3</v>
      </c>
      <c r="G149" s="14">
        <v>1.13185</v>
      </c>
      <c r="H149" s="14">
        <v>1.2661</v>
      </c>
      <c r="I149" s="14">
        <v>4.4354999999999999E-2</v>
      </c>
      <c r="J149" s="14">
        <v>0.10616</v>
      </c>
      <c r="K149" s="14">
        <v>0.28404499999999999</v>
      </c>
      <c r="L149" s="14">
        <v>2.2890000000000001E-2</v>
      </c>
    </row>
    <row r="150" spans="1:12" x14ac:dyDescent="0.3">
      <c r="A150" s="61">
        <v>44024</v>
      </c>
      <c r="B150" s="14">
        <v>1.41E-2</v>
      </c>
      <c r="C150" s="14">
        <v>0.69589999999999996</v>
      </c>
      <c r="D150" s="14">
        <v>0.18876000000000001</v>
      </c>
      <c r="E150" s="14">
        <v>0.73605000000000009</v>
      </c>
      <c r="F150" s="14">
        <v>1.2600000000000001E-3</v>
      </c>
      <c r="G150" s="14">
        <v>1.13185</v>
      </c>
      <c r="H150" s="14">
        <v>1.2661</v>
      </c>
      <c r="I150" s="14">
        <v>4.4354999999999999E-2</v>
      </c>
      <c r="J150" s="14">
        <v>0.10616</v>
      </c>
      <c r="K150" s="14">
        <v>0.28404499999999999</v>
      </c>
      <c r="L150" s="14">
        <v>2.2890000000000001E-2</v>
      </c>
    </row>
    <row r="151" spans="1:12" x14ac:dyDescent="0.3">
      <c r="A151" s="61">
        <v>44025</v>
      </c>
      <c r="B151" s="14">
        <v>1.4030000000000001E-2</v>
      </c>
      <c r="C151" s="14">
        <v>0.69900000000000007</v>
      </c>
      <c r="D151" s="14">
        <v>0.18712999999999999</v>
      </c>
      <c r="E151" s="14">
        <v>0.73788999999999993</v>
      </c>
      <c r="F151" s="14">
        <v>1.2600000000000001E-3</v>
      </c>
      <c r="G151" s="14">
        <v>1.1368499999999999</v>
      </c>
      <c r="H151" s="14">
        <v>1.2617499999999999</v>
      </c>
      <c r="I151" s="14">
        <v>4.4565E-2</v>
      </c>
      <c r="J151" s="14">
        <v>0.10671</v>
      </c>
      <c r="K151" s="14">
        <v>0.28530499999999998</v>
      </c>
      <c r="L151" s="14">
        <v>2.2890000000000001E-2</v>
      </c>
    </row>
    <row r="152" spans="1:12" x14ac:dyDescent="0.3">
      <c r="A152" s="61">
        <v>44026</v>
      </c>
      <c r="B152" s="14">
        <v>1.4019999999999999E-2</v>
      </c>
      <c r="C152" s="14">
        <v>0.69664999999999999</v>
      </c>
      <c r="D152" s="14">
        <v>0.18697</v>
      </c>
      <c r="E152" s="14">
        <v>0.73436999999999997</v>
      </c>
      <c r="F152" s="14">
        <v>1.2600000000000001E-3</v>
      </c>
      <c r="G152" s="14">
        <v>1.1397999999999999</v>
      </c>
      <c r="H152" s="14">
        <v>1.2528999999999999</v>
      </c>
      <c r="I152" s="14">
        <v>4.4165000000000003E-2</v>
      </c>
      <c r="J152" s="14">
        <v>0.106365</v>
      </c>
      <c r="K152" s="14">
        <v>0.28591499999999997</v>
      </c>
      <c r="L152" s="14">
        <v>2.2865E-2</v>
      </c>
    </row>
    <row r="153" spans="1:12" x14ac:dyDescent="0.3">
      <c r="A153" s="61">
        <v>44027</v>
      </c>
      <c r="B153" s="14">
        <v>1.401E-2</v>
      </c>
      <c r="C153" s="14">
        <v>0.70225000000000004</v>
      </c>
      <c r="D153" s="14">
        <v>0.18421000000000001</v>
      </c>
      <c r="E153" s="14">
        <v>0.73876500000000001</v>
      </c>
      <c r="F153" s="14">
        <v>1.2700000000000001E-3</v>
      </c>
      <c r="G153" s="14">
        <v>1.1417999999999999</v>
      </c>
      <c r="H153" s="14">
        <v>1.2622</v>
      </c>
      <c r="I153" s="14">
        <v>4.4874999999999998E-2</v>
      </c>
      <c r="J153" s="14">
        <v>0.10757</v>
      </c>
      <c r="K153" s="14">
        <v>0.28558499999999998</v>
      </c>
      <c r="L153" s="14">
        <v>2.2825000000000002E-2</v>
      </c>
    </row>
    <row r="154" spans="1:12" x14ac:dyDescent="0.3">
      <c r="A154" s="61">
        <v>44028</v>
      </c>
      <c r="B154" s="14">
        <v>1.4E-2</v>
      </c>
      <c r="C154" s="14">
        <v>0.7</v>
      </c>
      <c r="D154" s="14">
        <v>0.18695000000000001</v>
      </c>
      <c r="E154" s="14">
        <v>0.73897999999999997</v>
      </c>
      <c r="F154" s="14">
        <v>1.2700000000000001E-3</v>
      </c>
      <c r="G154" s="14">
        <v>1.1431500000000001</v>
      </c>
      <c r="H154" s="14">
        <v>1.2601</v>
      </c>
      <c r="I154" s="14">
        <v>4.4829999999999988E-2</v>
      </c>
      <c r="J154" s="14">
        <v>0.10798000000000001</v>
      </c>
      <c r="K154" s="14">
        <v>0.28583500000000001</v>
      </c>
      <c r="L154" s="14">
        <v>2.2814999999999998E-2</v>
      </c>
    </row>
    <row r="155" spans="1:12" x14ac:dyDescent="0.3">
      <c r="A155" s="61">
        <v>44029</v>
      </c>
      <c r="B155" s="14">
        <v>1.3984999999999999E-2</v>
      </c>
      <c r="C155" s="14">
        <v>0.69845000000000002</v>
      </c>
      <c r="D155" s="14">
        <v>0.18670999999999999</v>
      </c>
      <c r="E155" s="14">
        <v>0.73626499999999995</v>
      </c>
      <c r="F155" s="14">
        <v>1.2650000000000001E-3</v>
      </c>
      <c r="G155" s="14">
        <v>1.1422000000000001</v>
      </c>
      <c r="H155" s="14">
        <v>1.2535000000000001</v>
      </c>
      <c r="I155" s="14">
        <v>4.4444999999999998E-2</v>
      </c>
      <c r="J155" s="14">
        <v>0.107625</v>
      </c>
      <c r="K155" s="14">
        <v>0.28595500000000001</v>
      </c>
      <c r="L155" s="14">
        <v>2.2800000000000001E-2</v>
      </c>
    </row>
    <row r="156" spans="1:12" x14ac:dyDescent="0.3">
      <c r="A156" s="61">
        <v>44030</v>
      </c>
      <c r="B156" s="14">
        <v>1.3984999999999999E-2</v>
      </c>
      <c r="C156" s="14">
        <v>0.69845000000000002</v>
      </c>
      <c r="D156" s="14">
        <v>0.18670999999999999</v>
      </c>
      <c r="E156" s="14">
        <v>0.73626499999999995</v>
      </c>
      <c r="F156" s="14">
        <v>1.2650000000000001E-3</v>
      </c>
      <c r="G156" s="14">
        <v>1.1422000000000001</v>
      </c>
      <c r="H156" s="14">
        <v>1.2535000000000001</v>
      </c>
      <c r="I156" s="14">
        <v>4.4444999999999998E-2</v>
      </c>
      <c r="J156" s="14">
        <v>0.107625</v>
      </c>
      <c r="K156" s="14">
        <v>0.28595500000000001</v>
      </c>
      <c r="L156" s="14">
        <v>2.2800000000000001E-2</v>
      </c>
    </row>
    <row r="157" spans="1:12" x14ac:dyDescent="0.3">
      <c r="A157" s="61">
        <v>44031</v>
      </c>
      <c r="B157" s="14">
        <v>1.3984999999999999E-2</v>
      </c>
      <c r="C157" s="14">
        <v>0.69845000000000002</v>
      </c>
      <c r="D157" s="14">
        <v>0.18670999999999999</v>
      </c>
      <c r="E157" s="14">
        <v>0.73626499999999995</v>
      </c>
      <c r="F157" s="14">
        <v>1.2650000000000001E-3</v>
      </c>
      <c r="G157" s="14">
        <v>1.1422000000000001</v>
      </c>
      <c r="H157" s="14">
        <v>1.2535000000000001</v>
      </c>
      <c r="I157" s="14">
        <v>4.4444999999999998E-2</v>
      </c>
      <c r="J157" s="14">
        <v>0.107625</v>
      </c>
      <c r="K157" s="14">
        <v>0.28595500000000001</v>
      </c>
      <c r="L157" s="14">
        <v>2.2800000000000001E-2</v>
      </c>
    </row>
    <row r="158" spans="1:12" x14ac:dyDescent="0.3">
      <c r="A158" s="61">
        <v>44032</v>
      </c>
      <c r="B158" s="14">
        <v>1.3950000000000001E-2</v>
      </c>
      <c r="C158" s="14">
        <v>0.70104999999999995</v>
      </c>
      <c r="D158" s="14">
        <v>0.18670999999999999</v>
      </c>
      <c r="E158" s="14">
        <v>0.73838000000000004</v>
      </c>
      <c r="F158" s="14">
        <v>1.2650000000000001E-3</v>
      </c>
      <c r="G158" s="14">
        <v>1.1439999999999999</v>
      </c>
      <c r="H158" s="14">
        <v>1.2646999999999999</v>
      </c>
      <c r="I158" s="14">
        <v>4.4144999999999997E-2</v>
      </c>
      <c r="J158" s="14">
        <v>0.10813</v>
      </c>
      <c r="K158" s="14">
        <v>0.28595500000000001</v>
      </c>
      <c r="L158" s="14">
        <v>2.2890000000000001E-2</v>
      </c>
    </row>
    <row r="159" spans="1:12" x14ac:dyDescent="0.3">
      <c r="A159" s="61">
        <v>44033</v>
      </c>
      <c r="B159" s="14">
        <v>1.3939999999999999E-2</v>
      </c>
      <c r="C159" s="14">
        <v>0.71074999999999999</v>
      </c>
      <c r="D159" s="14">
        <v>0.18689</v>
      </c>
      <c r="E159" s="14">
        <v>0.74371000000000009</v>
      </c>
      <c r="F159" s="14">
        <v>1.2800000000000001E-3</v>
      </c>
      <c r="G159" s="14">
        <v>1.1488</v>
      </c>
      <c r="H159" s="14">
        <v>1.2749999999999999</v>
      </c>
      <c r="I159" s="14">
        <v>4.4704999999999988E-2</v>
      </c>
      <c r="J159" s="14">
        <v>0.10946500000000001</v>
      </c>
      <c r="K159" s="14">
        <v>0.28509499999999999</v>
      </c>
      <c r="L159" s="14">
        <v>2.3064999999999999E-2</v>
      </c>
    </row>
    <row r="160" spans="1:12" x14ac:dyDescent="0.3">
      <c r="A160" s="61">
        <v>44034</v>
      </c>
      <c r="B160" s="14">
        <v>1.393E-2</v>
      </c>
      <c r="C160" s="14">
        <v>0.71425000000000005</v>
      </c>
      <c r="D160" s="14">
        <v>0.19127</v>
      </c>
      <c r="E160" s="14">
        <v>0.74459999999999993</v>
      </c>
      <c r="F160" s="14">
        <v>1.2999999999999999E-3</v>
      </c>
      <c r="G160" s="14">
        <v>1.1593</v>
      </c>
      <c r="H160" s="14">
        <v>1.27315</v>
      </c>
      <c r="I160" s="14">
        <v>4.5025000000000003E-2</v>
      </c>
      <c r="J160" s="14">
        <v>0.109595</v>
      </c>
      <c r="K160" s="14">
        <v>0.28620000000000001</v>
      </c>
      <c r="L160" s="14">
        <v>2.3255000000000001E-2</v>
      </c>
    </row>
    <row r="161" spans="1:12" x14ac:dyDescent="0.3">
      <c r="A161" s="61">
        <v>44035</v>
      </c>
      <c r="B161" s="14">
        <v>1.3915E-2</v>
      </c>
      <c r="C161" s="14">
        <v>0.71245000000000003</v>
      </c>
      <c r="D161" s="14">
        <v>0.19566</v>
      </c>
      <c r="E161" s="14">
        <v>0.74634500000000004</v>
      </c>
      <c r="F161" s="14">
        <v>1.2999999999999999E-3</v>
      </c>
      <c r="G161" s="14">
        <v>1.1595</v>
      </c>
      <c r="H161" s="14">
        <v>1.2744500000000001</v>
      </c>
      <c r="I161" s="14">
        <v>4.4699999999999997E-2</v>
      </c>
      <c r="J161" s="14">
        <v>0.10904999999999999</v>
      </c>
      <c r="K161" s="14">
        <v>0.28542499999999998</v>
      </c>
      <c r="L161" s="14">
        <v>2.3255000000000001E-2</v>
      </c>
    </row>
    <row r="162" spans="1:12" x14ac:dyDescent="0.3">
      <c r="A162" s="61">
        <v>44036</v>
      </c>
      <c r="B162" s="14">
        <v>1.3899999999999999E-2</v>
      </c>
      <c r="C162" s="14">
        <v>0.70994999999999997</v>
      </c>
      <c r="D162" s="14">
        <v>0.19363</v>
      </c>
      <c r="E162" s="14">
        <v>0.74609999999999999</v>
      </c>
      <c r="F162" s="14">
        <v>1.2999999999999999E-3</v>
      </c>
      <c r="G162" s="14">
        <v>1.16245</v>
      </c>
      <c r="H162" s="14">
        <v>1.2787999999999999</v>
      </c>
      <c r="I162" s="14">
        <v>4.4689999999999987E-2</v>
      </c>
      <c r="J162" s="14">
        <v>0.1089</v>
      </c>
      <c r="K162" s="14">
        <v>0.28441</v>
      </c>
      <c r="L162" s="14">
        <v>2.3255000000000001E-2</v>
      </c>
    </row>
    <row r="163" spans="1:12" x14ac:dyDescent="0.3">
      <c r="A163" s="61">
        <v>44037</v>
      </c>
      <c r="B163" s="14">
        <v>1.3899999999999999E-2</v>
      </c>
      <c r="C163" s="14">
        <v>0.70994999999999997</v>
      </c>
      <c r="D163" s="14">
        <v>0.19363</v>
      </c>
      <c r="E163" s="14">
        <v>0.74609999999999999</v>
      </c>
      <c r="F163" s="14">
        <v>1.2999999999999999E-3</v>
      </c>
      <c r="G163" s="14">
        <v>1.16245</v>
      </c>
      <c r="H163" s="14">
        <v>1.2787999999999999</v>
      </c>
      <c r="I163" s="14">
        <v>4.4689999999999987E-2</v>
      </c>
      <c r="J163" s="14">
        <v>0.1089</v>
      </c>
      <c r="K163" s="14">
        <v>0.28441</v>
      </c>
      <c r="L163" s="14">
        <v>2.3255000000000001E-2</v>
      </c>
    </row>
    <row r="164" spans="1:12" x14ac:dyDescent="0.3">
      <c r="A164" s="61">
        <v>44038</v>
      </c>
      <c r="B164" s="14">
        <v>1.3899999999999999E-2</v>
      </c>
      <c r="C164" s="14">
        <v>0.70994999999999997</v>
      </c>
      <c r="D164" s="14">
        <v>0.19363</v>
      </c>
      <c r="E164" s="14">
        <v>0.74609999999999999</v>
      </c>
      <c r="F164" s="14">
        <v>1.2999999999999999E-3</v>
      </c>
      <c r="G164" s="14">
        <v>1.16245</v>
      </c>
      <c r="H164" s="14">
        <v>1.2787999999999999</v>
      </c>
      <c r="I164" s="14">
        <v>4.4689999999999987E-2</v>
      </c>
      <c r="J164" s="14">
        <v>0.1089</v>
      </c>
      <c r="K164" s="14">
        <v>0.28441</v>
      </c>
      <c r="L164" s="14">
        <v>2.3255000000000001E-2</v>
      </c>
    </row>
    <row r="165" spans="1:12" x14ac:dyDescent="0.3">
      <c r="A165" s="61">
        <v>44039</v>
      </c>
      <c r="B165" s="14">
        <v>1.387E-2</v>
      </c>
      <c r="C165" s="14">
        <v>0.71475</v>
      </c>
      <c r="D165" s="14">
        <v>0.191775</v>
      </c>
      <c r="E165" s="14">
        <v>0.74796499999999999</v>
      </c>
      <c r="F165" s="14">
        <v>1.2999999999999999E-3</v>
      </c>
      <c r="G165" s="14">
        <v>1.1777500000000001</v>
      </c>
      <c r="H165" s="14">
        <v>1.2896000000000001</v>
      </c>
      <c r="I165" s="14">
        <v>4.5495000000000001E-2</v>
      </c>
      <c r="J165" s="14">
        <v>0.110065</v>
      </c>
      <c r="K165" s="14">
        <v>0.28308</v>
      </c>
      <c r="L165" s="14">
        <v>2.3255000000000001E-2</v>
      </c>
    </row>
    <row r="166" spans="1:12" x14ac:dyDescent="0.3">
      <c r="A166" s="61">
        <v>44040</v>
      </c>
      <c r="B166" s="14">
        <v>1.3860000000000001E-2</v>
      </c>
      <c r="C166" s="14">
        <v>0.71604999999999996</v>
      </c>
      <c r="D166" s="14">
        <v>0.19272500000000001</v>
      </c>
      <c r="E166" s="14">
        <v>0.74642999999999993</v>
      </c>
      <c r="F166" s="14">
        <v>1.2999999999999999E-3</v>
      </c>
      <c r="G166" s="14">
        <v>1.1728499999999999</v>
      </c>
      <c r="H166" s="14">
        <v>1.2944500000000001</v>
      </c>
      <c r="I166" s="14">
        <v>4.5565000000000001E-2</v>
      </c>
      <c r="J166" s="14">
        <v>0.109815</v>
      </c>
      <c r="K166" s="14">
        <v>0.28355999999999998</v>
      </c>
      <c r="L166" s="14">
        <v>2.3599999999999999E-2</v>
      </c>
    </row>
    <row r="167" spans="1:12" x14ac:dyDescent="0.3">
      <c r="A167" s="61">
        <v>44041</v>
      </c>
      <c r="B167" s="14">
        <v>1.3849999999999999E-2</v>
      </c>
      <c r="C167" s="14">
        <v>0.71645000000000003</v>
      </c>
      <c r="D167" s="14">
        <v>0.19314000000000001</v>
      </c>
      <c r="E167" s="14">
        <v>0.74880499999999994</v>
      </c>
      <c r="F167" s="14">
        <v>1.31E-3</v>
      </c>
      <c r="G167" s="14">
        <v>1.1774500000000001</v>
      </c>
      <c r="H167" s="14">
        <v>1.2963499999999999</v>
      </c>
      <c r="I167" s="14">
        <v>4.5464999999999998E-2</v>
      </c>
      <c r="J167" s="14">
        <v>0.11028</v>
      </c>
      <c r="K167" s="14">
        <v>0.28355999999999998</v>
      </c>
      <c r="L167" s="14">
        <v>2.3535E-2</v>
      </c>
    </row>
    <row r="168" spans="1:12" x14ac:dyDescent="0.3">
      <c r="A168" s="61">
        <v>44042</v>
      </c>
      <c r="B168" s="14">
        <v>1.3835E-2</v>
      </c>
      <c r="C168" s="14">
        <v>0.71299999999999997</v>
      </c>
      <c r="D168" s="14">
        <v>0.19458</v>
      </c>
      <c r="E168" s="14">
        <v>0.74392999999999998</v>
      </c>
      <c r="F168" s="14">
        <v>1.32E-3</v>
      </c>
      <c r="G168" s="14">
        <v>1.1794500000000001</v>
      </c>
      <c r="H168" s="14">
        <v>1.3041</v>
      </c>
      <c r="I168" s="14">
        <v>4.5085E-2</v>
      </c>
      <c r="J168" s="14">
        <v>0.10928</v>
      </c>
      <c r="K168" s="14">
        <v>0.28355999999999998</v>
      </c>
      <c r="L168" s="14">
        <v>2.3535E-2</v>
      </c>
    </row>
    <row r="169" spans="1:12" x14ac:dyDescent="0.3">
      <c r="A169" s="61">
        <v>44043</v>
      </c>
      <c r="B169" s="14">
        <v>1.3835E-2</v>
      </c>
      <c r="C169" s="14">
        <v>0.71714999999999995</v>
      </c>
      <c r="D169" s="14">
        <v>0.19292000000000001</v>
      </c>
      <c r="E169" s="14">
        <v>0.74653999999999998</v>
      </c>
      <c r="F169" s="14">
        <v>1.32E-3</v>
      </c>
      <c r="G169" s="14">
        <v>1.1825000000000001</v>
      </c>
      <c r="H169" s="14">
        <v>1.3125</v>
      </c>
      <c r="I169" s="14">
        <v>4.5054999999999998E-2</v>
      </c>
      <c r="J169" s="14">
        <v>0.11014</v>
      </c>
      <c r="K169" s="14">
        <v>0.28505999999999998</v>
      </c>
      <c r="L169" s="14">
        <v>2.3505000000000002E-2</v>
      </c>
    </row>
    <row r="170" spans="1:12" x14ac:dyDescent="0.3">
      <c r="A170" s="61">
        <v>44044</v>
      </c>
      <c r="B170" s="14">
        <v>1.3835E-2</v>
      </c>
      <c r="C170" s="14">
        <v>0.71714999999999995</v>
      </c>
      <c r="D170" s="14">
        <v>0.19292000000000001</v>
      </c>
      <c r="E170" s="14">
        <v>0.74653999999999998</v>
      </c>
      <c r="F170" s="14">
        <v>1.32E-3</v>
      </c>
      <c r="G170" s="14">
        <v>1.1825000000000001</v>
      </c>
      <c r="H170" s="14">
        <v>1.3125</v>
      </c>
      <c r="I170" s="14">
        <v>4.5054999999999998E-2</v>
      </c>
      <c r="J170" s="14">
        <v>0.11014</v>
      </c>
      <c r="K170" s="14">
        <v>0.28505999999999998</v>
      </c>
      <c r="L170" s="14">
        <v>2.3505000000000002E-2</v>
      </c>
    </row>
    <row r="171" spans="1:12" x14ac:dyDescent="0.3">
      <c r="A171" s="61">
        <v>44045</v>
      </c>
      <c r="B171" s="14">
        <v>1.3835E-2</v>
      </c>
      <c r="C171" s="14">
        <v>0.71714999999999995</v>
      </c>
      <c r="D171" s="14">
        <v>0.19292000000000001</v>
      </c>
      <c r="E171" s="14">
        <v>0.74653999999999998</v>
      </c>
      <c r="F171" s="14">
        <v>1.32E-3</v>
      </c>
      <c r="G171" s="14">
        <v>1.1825000000000001</v>
      </c>
      <c r="H171" s="14">
        <v>1.3125</v>
      </c>
      <c r="I171" s="14">
        <v>4.5054999999999998E-2</v>
      </c>
      <c r="J171" s="14">
        <v>0.11014</v>
      </c>
      <c r="K171" s="14">
        <v>0.28505999999999998</v>
      </c>
      <c r="L171" s="14">
        <v>2.3505000000000002E-2</v>
      </c>
    </row>
    <row r="172" spans="1:12" x14ac:dyDescent="0.3">
      <c r="A172" s="61">
        <v>44046</v>
      </c>
      <c r="B172" s="14">
        <v>1.3785E-2</v>
      </c>
      <c r="C172" s="14">
        <v>0.71019999999999994</v>
      </c>
      <c r="D172" s="14">
        <v>0.19219</v>
      </c>
      <c r="E172" s="14">
        <v>0.74486999999999992</v>
      </c>
      <c r="F172" s="14">
        <v>1.2999999999999999E-3</v>
      </c>
      <c r="G172" s="14">
        <v>1.1738</v>
      </c>
      <c r="H172" s="14">
        <v>1.3030999999999999</v>
      </c>
      <c r="I172" s="14">
        <v>4.4225E-2</v>
      </c>
      <c r="J172" s="14">
        <v>0.109375</v>
      </c>
      <c r="K172" s="14">
        <v>0.28364</v>
      </c>
      <c r="L172" s="14">
        <v>2.3619999999999999E-2</v>
      </c>
    </row>
    <row r="173" spans="1:12" x14ac:dyDescent="0.3">
      <c r="A173" s="61">
        <v>44047</v>
      </c>
      <c r="B173" s="14">
        <v>1.3775000000000001E-2</v>
      </c>
      <c r="C173" s="14">
        <v>0.71494999999999997</v>
      </c>
      <c r="D173" s="14">
        <v>0.18842</v>
      </c>
      <c r="E173" s="14">
        <v>0.74796499999999999</v>
      </c>
      <c r="F173" s="14">
        <v>1.2999999999999999E-3</v>
      </c>
      <c r="G173" s="14">
        <v>1.1755500000000001</v>
      </c>
      <c r="H173" s="14">
        <v>1.3044</v>
      </c>
      <c r="I173" s="14">
        <v>4.3880000000000002E-2</v>
      </c>
      <c r="J173" s="14">
        <v>0.10961</v>
      </c>
      <c r="K173" s="14">
        <v>0.28244000000000002</v>
      </c>
      <c r="L173" s="14">
        <v>2.3404999999999999E-2</v>
      </c>
    </row>
    <row r="174" spans="1:12" x14ac:dyDescent="0.3">
      <c r="A174" s="61">
        <v>44048</v>
      </c>
      <c r="B174" s="14">
        <v>1.3769999999999999E-2</v>
      </c>
      <c r="C174" s="14">
        <v>0.72184999999999999</v>
      </c>
      <c r="D174" s="14">
        <v>0.18751999999999999</v>
      </c>
      <c r="E174" s="14">
        <v>0.75488500000000003</v>
      </c>
      <c r="F174" s="14">
        <v>1.2800000000000001E-3</v>
      </c>
      <c r="G174" s="14">
        <v>1.18825</v>
      </c>
      <c r="H174" s="14">
        <v>1.3142499999999999</v>
      </c>
      <c r="I174" s="14">
        <v>4.4589999999999998E-2</v>
      </c>
      <c r="J174" s="14">
        <v>0.11166</v>
      </c>
      <c r="K174" s="14">
        <v>0.28184500000000001</v>
      </c>
      <c r="L174" s="14">
        <v>2.3400000000000001E-2</v>
      </c>
    </row>
    <row r="175" spans="1:12" x14ac:dyDescent="0.3">
      <c r="A175" s="61">
        <v>44049</v>
      </c>
      <c r="B175" s="14">
        <v>1.375E-2</v>
      </c>
      <c r="C175" s="14">
        <v>0.72194999999999998</v>
      </c>
      <c r="D175" s="14">
        <v>0.18953999999999999</v>
      </c>
      <c r="E175" s="14">
        <v>0.75187500000000007</v>
      </c>
      <c r="F175" s="14">
        <v>1.2800000000000001E-3</v>
      </c>
      <c r="G175" s="14">
        <v>1.1842999999999999</v>
      </c>
      <c r="H175" s="14">
        <v>1.3143</v>
      </c>
      <c r="I175" s="14">
        <v>4.4674999999999999E-2</v>
      </c>
      <c r="J175" s="14">
        <v>0.11129</v>
      </c>
      <c r="K175" s="14">
        <v>0.281885</v>
      </c>
      <c r="L175" s="14">
        <v>2.3400000000000001E-2</v>
      </c>
    </row>
    <row r="176" spans="1:12" x14ac:dyDescent="0.3">
      <c r="A176" s="61">
        <v>44050</v>
      </c>
      <c r="B176" s="14">
        <v>1.374E-2</v>
      </c>
      <c r="C176" s="14">
        <v>0.71775</v>
      </c>
      <c r="D176" s="14">
        <v>0.18953999999999999</v>
      </c>
      <c r="E176" s="14">
        <v>0.7472700000000001</v>
      </c>
      <c r="F176" s="14">
        <v>1.2700000000000001E-3</v>
      </c>
      <c r="G176" s="14">
        <v>1.17885</v>
      </c>
      <c r="H176" s="14">
        <v>1.3050999999999999</v>
      </c>
      <c r="I176" s="14">
        <v>4.4420000000000001E-2</v>
      </c>
      <c r="J176" s="14">
        <v>0.11043500000000001</v>
      </c>
      <c r="K176" s="14">
        <v>0.281885</v>
      </c>
      <c r="L176" s="14">
        <v>2.3414999999999998E-2</v>
      </c>
    </row>
    <row r="177" spans="1:12" x14ac:dyDescent="0.3">
      <c r="A177" s="61">
        <v>44051</v>
      </c>
      <c r="B177" s="14">
        <v>1.374E-2</v>
      </c>
      <c r="C177" s="14">
        <v>0.71775</v>
      </c>
      <c r="D177" s="14">
        <v>0.18953999999999999</v>
      </c>
      <c r="E177" s="14">
        <v>0.7472700000000001</v>
      </c>
      <c r="F177" s="14">
        <v>1.2700000000000001E-3</v>
      </c>
      <c r="G177" s="14">
        <v>1.17885</v>
      </c>
      <c r="H177" s="14">
        <v>1.3050999999999999</v>
      </c>
      <c r="I177" s="14">
        <v>4.4420000000000001E-2</v>
      </c>
      <c r="J177" s="14">
        <v>0.11043500000000001</v>
      </c>
      <c r="K177" s="14">
        <v>0.281885</v>
      </c>
      <c r="L177" s="14">
        <v>2.3414999999999998E-2</v>
      </c>
    </row>
    <row r="178" spans="1:12" x14ac:dyDescent="0.3">
      <c r="A178" s="61">
        <v>44052</v>
      </c>
      <c r="B178" s="14">
        <v>1.374E-2</v>
      </c>
      <c r="C178" s="14">
        <v>0.71775</v>
      </c>
      <c r="D178" s="14">
        <v>0.18953999999999999</v>
      </c>
      <c r="E178" s="14">
        <v>0.7472700000000001</v>
      </c>
      <c r="F178" s="14">
        <v>1.2700000000000001E-3</v>
      </c>
      <c r="G178" s="14">
        <v>1.17885</v>
      </c>
      <c r="H178" s="14">
        <v>1.3050999999999999</v>
      </c>
      <c r="I178" s="14">
        <v>4.4420000000000001E-2</v>
      </c>
      <c r="J178" s="14">
        <v>0.11043500000000001</v>
      </c>
      <c r="K178" s="14">
        <v>0.281885</v>
      </c>
      <c r="L178" s="14">
        <v>2.3414999999999998E-2</v>
      </c>
    </row>
    <row r="179" spans="1:12" x14ac:dyDescent="0.3">
      <c r="A179" s="61">
        <v>44053</v>
      </c>
      <c r="B179" s="14">
        <v>1.3705E-2</v>
      </c>
      <c r="C179" s="14">
        <v>0.71579999999999999</v>
      </c>
      <c r="D179" s="14">
        <v>0.18715999999999999</v>
      </c>
      <c r="E179" s="14">
        <v>0.749085</v>
      </c>
      <c r="F179" s="14">
        <v>1.25E-3</v>
      </c>
      <c r="G179" s="14">
        <v>1.17665</v>
      </c>
      <c r="H179" s="14">
        <v>1.3089</v>
      </c>
      <c r="I179" s="14">
        <v>4.4410000000000012E-2</v>
      </c>
      <c r="J179" s="14">
        <v>0.110815</v>
      </c>
      <c r="K179" s="14">
        <v>0.28195999999999999</v>
      </c>
      <c r="L179" s="14">
        <v>2.3449999999999999E-2</v>
      </c>
    </row>
    <row r="180" spans="1:12" x14ac:dyDescent="0.3">
      <c r="A180" s="61">
        <v>44054</v>
      </c>
      <c r="B180" s="14">
        <v>1.3695000000000001E-2</v>
      </c>
      <c r="C180" s="14">
        <v>0.71635000000000004</v>
      </c>
      <c r="D180" s="14">
        <v>0.18542</v>
      </c>
      <c r="E180" s="14">
        <v>0.75187500000000007</v>
      </c>
      <c r="F180" s="14">
        <v>1.2600000000000001E-3</v>
      </c>
      <c r="G180" s="14">
        <v>1.17655</v>
      </c>
      <c r="H180" s="14">
        <v>1.3085</v>
      </c>
      <c r="I180" s="14">
        <v>4.4665000000000003E-2</v>
      </c>
      <c r="J180" s="14">
        <v>0.111245</v>
      </c>
      <c r="K180" s="14">
        <v>0.28100999999999998</v>
      </c>
      <c r="L180" s="14">
        <v>2.3545E-2</v>
      </c>
    </row>
    <row r="181" spans="1:12" x14ac:dyDescent="0.3">
      <c r="A181" s="61">
        <v>44055</v>
      </c>
      <c r="B181" s="14">
        <v>1.3684999999999999E-2</v>
      </c>
      <c r="C181" s="14">
        <v>0.71724999999999994</v>
      </c>
      <c r="D181" s="14">
        <v>0.18421999999999999</v>
      </c>
      <c r="E181" s="14">
        <v>0.75565499999999997</v>
      </c>
      <c r="F181" s="14">
        <v>1.2600000000000001E-3</v>
      </c>
      <c r="G181" s="14">
        <v>1.18045</v>
      </c>
      <c r="H181" s="14">
        <v>1.3053999999999999</v>
      </c>
      <c r="I181" s="14">
        <v>4.4785000000000012E-2</v>
      </c>
      <c r="J181" s="14">
        <v>0.11212999999999999</v>
      </c>
      <c r="K181" s="14">
        <v>0.280775</v>
      </c>
      <c r="L181" s="14">
        <v>2.3550000000000001E-2</v>
      </c>
    </row>
    <row r="182" spans="1:12" x14ac:dyDescent="0.3">
      <c r="A182" s="61">
        <v>44056</v>
      </c>
      <c r="B182" s="14">
        <v>1.367E-2</v>
      </c>
      <c r="C182" s="14">
        <v>0.71734999999999993</v>
      </c>
      <c r="D182" s="14">
        <v>0.18332000000000001</v>
      </c>
      <c r="E182" s="14">
        <v>0.75693999999999995</v>
      </c>
      <c r="F182" s="14">
        <v>1.25E-3</v>
      </c>
      <c r="G182" s="14">
        <v>1.1837500000000001</v>
      </c>
      <c r="H182" s="14">
        <v>1.30945</v>
      </c>
      <c r="I182" s="14">
        <v>4.4835E-2</v>
      </c>
      <c r="J182" s="14">
        <v>0.112765</v>
      </c>
      <c r="K182" s="14">
        <v>0.28038000000000002</v>
      </c>
      <c r="L182" s="14">
        <v>2.351E-2</v>
      </c>
    </row>
    <row r="183" spans="1:12" x14ac:dyDescent="0.3">
      <c r="A183" s="61">
        <v>44057</v>
      </c>
      <c r="B183" s="14">
        <v>1.3665E-2</v>
      </c>
      <c r="C183" s="14">
        <v>0.71724999999999994</v>
      </c>
      <c r="D183" s="14">
        <v>0.18587999999999999</v>
      </c>
      <c r="E183" s="14">
        <v>0.75476999999999994</v>
      </c>
      <c r="F183" s="14">
        <v>1.25E-3</v>
      </c>
      <c r="G183" s="14">
        <v>1.1829000000000001</v>
      </c>
      <c r="H183" s="14">
        <v>1.3109</v>
      </c>
      <c r="I183" s="14">
        <v>4.5384999999999988E-2</v>
      </c>
      <c r="J183" s="14">
        <v>0.112345</v>
      </c>
      <c r="K183" s="14">
        <v>0.27999000000000002</v>
      </c>
      <c r="L183" s="14">
        <v>2.351E-2</v>
      </c>
    </row>
    <row r="184" spans="1:12" x14ac:dyDescent="0.3">
      <c r="A184" s="61">
        <v>44058</v>
      </c>
      <c r="B184" s="14">
        <v>1.3665E-2</v>
      </c>
      <c r="C184" s="14">
        <v>0.71724999999999994</v>
      </c>
      <c r="D184" s="14">
        <v>0.18587999999999999</v>
      </c>
      <c r="E184" s="14">
        <v>0.75476999999999994</v>
      </c>
      <c r="F184" s="14">
        <v>1.25E-3</v>
      </c>
      <c r="G184" s="14">
        <v>1.1829000000000001</v>
      </c>
      <c r="H184" s="14">
        <v>1.3109</v>
      </c>
      <c r="I184" s="14">
        <v>4.5384999999999988E-2</v>
      </c>
      <c r="J184" s="14">
        <v>0.112345</v>
      </c>
      <c r="K184" s="14">
        <v>0.27999000000000002</v>
      </c>
      <c r="L184" s="14">
        <v>2.351E-2</v>
      </c>
    </row>
    <row r="185" spans="1:12" x14ac:dyDescent="0.3">
      <c r="A185" s="61">
        <v>44059</v>
      </c>
      <c r="B185" s="14">
        <v>1.3665E-2</v>
      </c>
      <c r="C185" s="14">
        <v>0.71724999999999994</v>
      </c>
      <c r="D185" s="14">
        <v>0.18587999999999999</v>
      </c>
      <c r="E185" s="14">
        <v>0.75476999999999994</v>
      </c>
      <c r="F185" s="14">
        <v>1.25E-3</v>
      </c>
      <c r="G185" s="14">
        <v>1.1829000000000001</v>
      </c>
      <c r="H185" s="14">
        <v>1.3109</v>
      </c>
      <c r="I185" s="14">
        <v>4.5384999999999988E-2</v>
      </c>
      <c r="J185" s="14">
        <v>0.112345</v>
      </c>
      <c r="K185" s="14">
        <v>0.27999000000000002</v>
      </c>
      <c r="L185" s="14">
        <v>2.351E-2</v>
      </c>
    </row>
    <row r="186" spans="1:12" x14ac:dyDescent="0.3">
      <c r="A186" s="61">
        <v>44060</v>
      </c>
      <c r="B186" s="14">
        <v>1.367E-2</v>
      </c>
      <c r="C186" s="14">
        <v>0.72050000000000003</v>
      </c>
      <c r="D186" s="14">
        <v>0.18587999999999999</v>
      </c>
      <c r="E186" s="14">
        <v>0.75708500000000001</v>
      </c>
      <c r="F186" s="14">
        <v>1.24E-3</v>
      </c>
      <c r="G186" s="14">
        <v>1.18675</v>
      </c>
      <c r="H186" s="14">
        <v>1.3099000000000001</v>
      </c>
      <c r="I186" s="14">
        <v>4.5345000000000003E-2</v>
      </c>
      <c r="J186" s="14">
        <v>0.11272</v>
      </c>
      <c r="K186" s="14">
        <v>0.27999000000000002</v>
      </c>
      <c r="L186" s="14">
        <v>2.3494999999999999E-2</v>
      </c>
    </row>
    <row r="187" spans="1:12" x14ac:dyDescent="0.3">
      <c r="A187" s="61">
        <v>44061</v>
      </c>
      <c r="B187" s="14">
        <v>1.363E-2</v>
      </c>
      <c r="C187" s="14">
        <v>0.72365000000000002</v>
      </c>
      <c r="D187" s="14">
        <v>0.1857</v>
      </c>
      <c r="E187" s="14">
        <v>0.75860499999999997</v>
      </c>
      <c r="F187" s="14">
        <v>1.25E-3</v>
      </c>
      <c r="G187" s="14">
        <v>1.1920500000000001</v>
      </c>
      <c r="H187" s="14">
        <v>1.3218000000000001</v>
      </c>
      <c r="I187" s="14">
        <v>4.5155000000000001E-2</v>
      </c>
      <c r="J187" s="14">
        <v>0.113025</v>
      </c>
      <c r="K187" s="14">
        <v>0.27975499999999998</v>
      </c>
      <c r="L187" s="14">
        <v>2.3480000000000001E-2</v>
      </c>
    </row>
    <row r="188" spans="1:12" x14ac:dyDescent="0.3">
      <c r="A188" s="61">
        <v>44062</v>
      </c>
      <c r="B188" s="14">
        <v>1.3605000000000001E-2</v>
      </c>
      <c r="C188" s="14">
        <v>0.72375</v>
      </c>
      <c r="D188" s="14">
        <v>0.18296000000000001</v>
      </c>
      <c r="E188" s="14">
        <v>0.75978500000000004</v>
      </c>
      <c r="F188" s="14">
        <v>1.2700000000000001E-3</v>
      </c>
      <c r="G188" s="14">
        <v>1.1900500000000001</v>
      </c>
      <c r="H188" s="14">
        <v>1.3184</v>
      </c>
      <c r="I188" s="14">
        <v>4.5365000000000003E-2</v>
      </c>
      <c r="J188" s="14">
        <v>0.11302</v>
      </c>
      <c r="K188" s="14">
        <v>0.27979500000000002</v>
      </c>
      <c r="L188" s="14">
        <v>2.3425000000000001E-2</v>
      </c>
    </row>
    <row r="189" spans="1:12" x14ac:dyDescent="0.3">
      <c r="A189" s="61">
        <v>44063</v>
      </c>
      <c r="B189" s="14">
        <v>1.3594999999999999E-2</v>
      </c>
      <c r="C189" s="14">
        <v>0.71625000000000005</v>
      </c>
      <c r="D189" s="14">
        <v>0.18212999999999999</v>
      </c>
      <c r="E189" s="14">
        <v>0.75682499999999997</v>
      </c>
      <c r="F189" s="14">
        <v>1.2700000000000001E-3</v>
      </c>
      <c r="G189" s="14">
        <v>1.18415</v>
      </c>
      <c r="H189" s="14">
        <v>1.3139000000000001</v>
      </c>
      <c r="I189" s="14">
        <v>4.505E-2</v>
      </c>
      <c r="J189" s="14">
        <v>0.11161</v>
      </c>
      <c r="K189" s="14">
        <v>0.28073500000000001</v>
      </c>
      <c r="L189" s="14">
        <v>2.332E-2</v>
      </c>
    </row>
    <row r="190" spans="1:12" x14ac:dyDescent="0.3">
      <c r="A190" s="61">
        <v>44064</v>
      </c>
      <c r="B190" s="14">
        <v>1.359E-2</v>
      </c>
      <c r="C190" s="14">
        <v>0.71534999999999993</v>
      </c>
      <c r="D190" s="14">
        <v>0.17696000000000001</v>
      </c>
      <c r="E190" s="14">
        <v>0.75765499999999997</v>
      </c>
      <c r="F190" s="14">
        <v>1.2600000000000001E-3</v>
      </c>
      <c r="G190" s="14">
        <v>1.1779500000000001</v>
      </c>
      <c r="H190" s="14">
        <v>1.30725</v>
      </c>
      <c r="I190" s="14">
        <v>4.5425E-2</v>
      </c>
      <c r="J190" s="14">
        <v>0.11051</v>
      </c>
      <c r="K190" s="14">
        <v>0.27975499999999998</v>
      </c>
      <c r="L190" s="14">
        <v>2.325E-2</v>
      </c>
    </row>
    <row r="191" spans="1:12" x14ac:dyDescent="0.3">
      <c r="A191" s="61">
        <v>44065</v>
      </c>
      <c r="B191" s="14">
        <v>1.359E-2</v>
      </c>
      <c r="C191" s="14">
        <v>0.71534999999999993</v>
      </c>
      <c r="D191" s="14">
        <v>0.17696000000000001</v>
      </c>
      <c r="E191" s="14">
        <v>0.75765499999999997</v>
      </c>
      <c r="F191" s="14">
        <v>1.2600000000000001E-3</v>
      </c>
      <c r="G191" s="14">
        <v>1.1779500000000001</v>
      </c>
      <c r="H191" s="14">
        <v>1.30725</v>
      </c>
      <c r="I191" s="14">
        <v>4.5425E-2</v>
      </c>
      <c r="J191" s="14">
        <v>0.11051</v>
      </c>
      <c r="K191" s="14">
        <v>0.27975499999999998</v>
      </c>
      <c r="L191" s="14">
        <v>2.325E-2</v>
      </c>
    </row>
    <row r="192" spans="1:12" x14ac:dyDescent="0.3">
      <c r="A192" s="61">
        <v>44066</v>
      </c>
      <c r="B192" s="14">
        <v>1.359E-2</v>
      </c>
      <c r="C192" s="14">
        <v>0.71534999999999993</v>
      </c>
      <c r="D192" s="14">
        <v>0.17696000000000001</v>
      </c>
      <c r="E192" s="14">
        <v>0.75765499999999997</v>
      </c>
      <c r="F192" s="14">
        <v>1.2600000000000001E-3</v>
      </c>
      <c r="G192" s="14">
        <v>1.1779500000000001</v>
      </c>
      <c r="H192" s="14">
        <v>1.30725</v>
      </c>
      <c r="I192" s="14">
        <v>4.5425E-2</v>
      </c>
      <c r="J192" s="14">
        <v>0.11051</v>
      </c>
      <c r="K192" s="14">
        <v>0.27975499999999998</v>
      </c>
      <c r="L192" s="14">
        <v>2.325E-2</v>
      </c>
    </row>
    <row r="193" spans="1:12" x14ac:dyDescent="0.3">
      <c r="A193" s="61">
        <v>44067</v>
      </c>
      <c r="B193" s="14">
        <v>1.3559999999999999E-2</v>
      </c>
      <c r="C193" s="14">
        <v>0.71724999999999994</v>
      </c>
      <c r="D193" s="14">
        <v>0.17837</v>
      </c>
      <c r="E193" s="14">
        <v>0.75711499999999998</v>
      </c>
      <c r="F193" s="14">
        <v>1.2650000000000001E-3</v>
      </c>
      <c r="G193" s="14">
        <v>1.1813499999999999</v>
      </c>
      <c r="H193" s="14">
        <v>1.3069</v>
      </c>
      <c r="I193" s="14">
        <v>4.5455000000000002E-2</v>
      </c>
      <c r="J193" s="14">
        <v>0.11133999999999999</v>
      </c>
      <c r="K193" s="14">
        <v>0.27920499999999998</v>
      </c>
      <c r="L193" s="14">
        <v>2.332E-2</v>
      </c>
    </row>
    <row r="194" spans="1:12" x14ac:dyDescent="0.3">
      <c r="A194" s="61">
        <v>44068</v>
      </c>
      <c r="B194" s="14">
        <v>1.3545E-2</v>
      </c>
      <c r="C194" s="14">
        <v>0.71750000000000003</v>
      </c>
      <c r="D194" s="14">
        <v>0.17871999999999999</v>
      </c>
      <c r="E194" s="14">
        <v>0.75722500000000004</v>
      </c>
      <c r="F194" s="14">
        <v>1.2700000000000001E-3</v>
      </c>
      <c r="G194" s="14">
        <v>1.18235</v>
      </c>
      <c r="H194" s="14">
        <v>1.31175</v>
      </c>
      <c r="I194" s="14">
        <v>4.5525000000000003E-2</v>
      </c>
      <c r="J194" s="14">
        <v>0.11133</v>
      </c>
      <c r="K194" s="14">
        <v>0.27924500000000002</v>
      </c>
      <c r="L194" s="14">
        <v>2.332E-2</v>
      </c>
    </row>
    <row r="195" spans="1:12" x14ac:dyDescent="0.3">
      <c r="A195" s="61">
        <v>44069</v>
      </c>
      <c r="B195" s="14">
        <v>1.3535E-2</v>
      </c>
      <c r="C195" s="14">
        <v>0.72245000000000004</v>
      </c>
      <c r="D195" s="14">
        <v>0.17859</v>
      </c>
      <c r="E195" s="14">
        <v>0.76091500000000001</v>
      </c>
      <c r="F195" s="14">
        <v>1.2700000000000001E-3</v>
      </c>
      <c r="G195" s="14">
        <v>1.1817500000000001</v>
      </c>
      <c r="H195" s="14">
        <v>1.3191999999999999</v>
      </c>
      <c r="I195" s="14">
        <v>4.5600000000000002E-2</v>
      </c>
      <c r="J195" s="14">
        <v>0.11205</v>
      </c>
      <c r="K195" s="14">
        <v>0.278505</v>
      </c>
      <c r="L195" s="14">
        <v>2.332E-2</v>
      </c>
    </row>
    <row r="196" spans="1:12" x14ac:dyDescent="0.3">
      <c r="A196" s="61">
        <v>44070</v>
      </c>
      <c r="B196" s="14">
        <v>1.353E-2</v>
      </c>
      <c r="C196" s="14">
        <v>0.72324999999999995</v>
      </c>
      <c r="D196" s="14">
        <v>0.17960000000000001</v>
      </c>
      <c r="E196" s="14">
        <v>0.760625</v>
      </c>
      <c r="F196" s="14">
        <v>1.2700000000000001E-3</v>
      </c>
      <c r="G196" s="14">
        <v>1.179</v>
      </c>
      <c r="H196" s="14">
        <v>1.319</v>
      </c>
      <c r="I196" s="14">
        <v>4.5354999999999999E-2</v>
      </c>
      <c r="J196" s="14">
        <v>0.11201</v>
      </c>
      <c r="K196" s="14">
        <v>0.27901500000000001</v>
      </c>
      <c r="L196" s="14">
        <v>2.332E-2</v>
      </c>
    </row>
    <row r="197" spans="1:12" x14ac:dyDescent="0.3">
      <c r="A197" s="61">
        <v>44071</v>
      </c>
      <c r="B197" s="14">
        <v>1.3509999999999999E-2</v>
      </c>
      <c r="C197" s="14">
        <v>0.73475000000000001</v>
      </c>
      <c r="D197" s="14">
        <v>0.17871999999999999</v>
      </c>
      <c r="E197" s="14">
        <v>0.76312000000000002</v>
      </c>
      <c r="F197" s="14">
        <v>1.2800000000000001E-3</v>
      </c>
      <c r="G197" s="14">
        <v>1.1898</v>
      </c>
      <c r="H197" s="14">
        <v>1.3331</v>
      </c>
      <c r="I197" s="14">
        <v>4.5749999999999999E-2</v>
      </c>
      <c r="J197" s="14">
        <v>0.11346000000000001</v>
      </c>
      <c r="K197" s="14">
        <v>0.28006500000000001</v>
      </c>
      <c r="L197" s="14">
        <v>2.3439999999999999E-2</v>
      </c>
    </row>
    <row r="198" spans="1:12" x14ac:dyDescent="0.3">
      <c r="A198" s="61">
        <v>44072</v>
      </c>
      <c r="B198" s="14">
        <v>1.3509999999999999E-2</v>
      </c>
      <c r="C198" s="14">
        <v>0.73475000000000001</v>
      </c>
      <c r="D198" s="14">
        <v>0.17871999999999999</v>
      </c>
      <c r="E198" s="14">
        <v>0.76312000000000002</v>
      </c>
      <c r="F198" s="14">
        <v>1.2800000000000001E-3</v>
      </c>
      <c r="G198" s="14">
        <v>1.1898</v>
      </c>
      <c r="H198" s="14">
        <v>1.3331</v>
      </c>
      <c r="I198" s="14">
        <v>4.5749999999999999E-2</v>
      </c>
      <c r="J198" s="14">
        <v>0.11346000000000001</v>
      </c>
      <c r="K198" s="14">
        <v>0.28006500000000001</v>
      </c>
      <c r="L198" s="14">
        <v>2.3439999999999999E-2</v>
      </c>
    </row>
    <row r="199" spans="1:12" x14ac:dyDescent="0.3">
      <c r="A199" s="61">
        <v>44073</v>
      </c>
      <c r="B199" s="14">
        <v>1.3509999999999999E-2</v>
      </c>
      <c r="C199" s="14">
        <v>0.73475000000000001</v>
      </c>
      <c r="D199" s="14">
        <v>0.17871999999999999</v>
      </c>
      <c r="E199" s="14">
        <v>0.76312000000000002</v>
      </c>
      <c r="F199" s="14">
        <v>1.2800000000000001E-3</v>
      </c>
      <c r="G199" s="14">
        <v>1.1898</v>
      </c>
      <c r="H199" s="14">
        <v>1.3331</v>
      </c>
      <c r="I199" s="14">
        <v>4.5749999999999999E-2</v>
      </c>
      <c r="J199" s="14">
        <v>0.11346000000000001</v>
      </c>
      <c r="K199" s="14">
        <v>0.28006500000000001</v>
      </c>
      <c r="L199" s="14">
        <v>2.3439999999999999E-2</v>
      </c>
    </row>
    <row r="200" spans="1:12" x14ac:dyDescent="0.3">
      <c r="A200" s="61">
        <v>44074</v>
      </c>
      <c r="B200" s="14">
        <v>1.3480000000000001E-2</v>
      </c>
      <c r="C200" s="14">
        <v>0.73954999999999993</v>
      </c>
      <c r="D200" s="14">
        <v>0.18289</v>
      </c>
      <c r="E200" s="14">
        <v>0.76748499999999997</v>
      </c>
      <c r="F200" s="14">
        <v>1.2800000000000001E-3</v>
      </c>
      <c r="G200" s="14">
        <v>1.1959500000000001</v>
      </c>
      <c r="H200" s="14">
        <v>1.3389500000000001</v>
      </c>
      <c r="I200" s="14">
        <v>4.5685000000000003E-2</v>
      </c>
      <c r="J200" s="14">
        <v>0.11522499999999999</v>
      </c>
      <c r="K200" s="14">
        <v>0.28255999999999998</v>
      </c>
      <c r="L200" s="14">
        <v>2.3505000000000002E-2</v>
      </c>
    </row>
    <row r="201" spans="1:12" x14ac:dyDescent="0.3">
      <c r="A201" s="61">
        <v>44075</v>
      </c>
      <c r="B201" s="14">
        <v>1.346E-2</v>
      </c>
      <c r="C201" s="14">
        <v>0.73785000000000001</v>
      </c>
      <c r="D201" s="14">
        <v>0.18278</v>
      </c>
      <c r="E201" s="14">
        <v>0.76633499999999999</v>
      </c>
      <c r="F201" s="14">
        <v>1.2899999999999999E-3</v>
      </c>
      <c r="G201" s="14">
        <v>1.19635</v>
      </c>
      <c r="H201" s="14">
        <v>1.3447499999999999</v>
      </c>
      <c r="I201" s="14">
        <v>4.5984999999999998E-2</v>
      </c>
      <c r="J201" s="14">
        <v>0.11448999999999999</v>
      </c>
      <c r="K201" s="14">
        <v>0.28211999999999998</v>
      </c>
      <c r="L201" s="14">
        <v>2.3525000000000001E-2</v>
      </c>
    </row>
    <row r="202" spans="1:12" x14ac:dyDescent="0.3">
      <c r="A202" s="61">
        <v>44076</v>
      </c>
      <c r="B202" s="14">
        <v>1.345E-2</v>
      </c>
      <c r="C202" s="14">
        <v>0.73225000000000007</v>
      </c>
      <c r="D202" s="14">
        <v>0.18611</v>
      </c>
      <c r="E202" s="14">
        <v>0.76557500000000001</v>
      </c>
      <c r="F202" s="14">
        <v>1.2899999999999999E-3</v>
      </c>
      <c r="G202" s="14">
        <v>1.18405</v>
      </c>
      <c r="H202" s="14">
        <v>1.3303</v>
      </c>
      <c r="I202" s="14">
        <v>4.5795000000000002E-2</v>
      </c>
      <c r="J202" s="14">
        <v>0.113325</v>
      </c>
      <c r="K202" s="14">
        <v>0.28336</v>
      </c>
      <c r="L202" s="14">
        <v>2.349E-2</v>
      </c>
    </row>
    <row r="203" spans="1:12" x14ac:dyDescent="0.3">
      <c r="A203" s="61">
        <v>44077</v>
      </c>
      <c r="B203" s="14">
        <v>1.3440000000000001E-2</v>
      </c>
      <c r="C203" s="14">
        <v>0.72955000000000003</v>
      </c>
      <c r="D203" s="14">
        <v>0.18608</v>
      </c>
      <c r="E203" s="14">
        <v>0.76178499999999993</v>
      </c>
      <c r="F203" s="14">
        <v>1.2899999999999999E-3</v>
      </c>
      <c r="G203" s="14">
        <v>1.1837500000000001</v>
      </c>
      <c r="H203" s="14">
        <v>1.32725</v>
      </c>
      <c r="I203" s="14">
        <v>4.6274999999999997E-2</v>
      </c>
      <c r="J203" s="14">
        <v>0.11206000000000001</v>
      </c>
      <c r="K203" s="14">
        <v>0.28320000000000001</v>
      </c>
      <c r="L203" s="14">
        <v>2.342E-2</v>
      </c>
    </row>
    <row r="204" spans="1:12" x14ac:dyDescent="0.3">
      <c r="A204" s="61">
        <v>44078</v>
      </c>
      <c r="B204" s="14">
        <v>1.3429999999999999E-2</v>
      </c>
      <c r="C204" s="14">
        <v>0.72455000000000003</v>
      </c>
      <c r="D204" s="14">
        <v>0.18840000000000001</v>
      </c>
      <c r="E204" s="14">
        <v>0.76233499999999998</v>
      </c>
      <c r="F204" s="14">
        <v>1.2899999999999999E-3</v>
      </c>
      <c r="G204" s="14">
        <v>1.1797500000000001</v>
      </c>
      <c r="H204" s="14">
        <v>1.3208</v>
      </c>
      <c r="I204" s="14">
        <v>4.6315000000000002E-2</v>
      </c>
      <c r="J204" s="14">
        <v>0.11143</v>
      </c>
      <c r="K204" s="14">
        <v>0.28248000000000001</v>
      </c>
      <c r="L204" s="14">
        <v>2.3560000000000001E-2</v>
      </c>
    </row>
    <row r="205" spans="1:12" x14ac:dyDescent="0.3">
      <c r="A205" s="61">
        <v>44079</v>
      </c>
      <c r="B205" s="14">
        <v>1.3429999999999999E-2</v>
      </c>
      <c r="C205" s="14">
        <v>0.72455000000000003</v>
      </c>
      <c r="D205" s="14">
        <v>0.18840000000000001</v>
      </c>
      <c r="E205" s="14">
        <v>0.76233499999999998</v>
      </c>
      <c r="F205" s="14">
        <v>1.2899999999999999E-3</v>
      </c>
      <c r="G205" s="14">
        <v>1.1797500000000001</v>
      </c>
      <c r="H205" s="14">
        <v>1.3208</v>
      </c>
      <c r="I205" s="14">
        <v>4.6315000000000002E-2</v>
      </c>
      <c r="J205" s="14">
        <v>0.11143</v>
      </c>
      <c r="K205" s="14">
        <v>0.28248000000000001</v>
      </c>
      <c r="L205" s="14">
        <v>2.3560000000000001E-2</v>
      </c>
    </row>
    <row r="206" spans="1:12" x14ac:dyDescent="0.3">
      <c r="A206" s="61">
        <v>44080</v>
      </c>
      <c r="B206" s="14">
        <v>1.3429999999999999E-2</v>
      </c>
      <c r="C206" s="14">
        <v>0.72455000000000003</v>
      </c>
      <c r="D206" s="14">
        <v>0.18840000000000001</v>
      </c>
      <c r="E206" s="14">
        <v>0.76233499999999998</v>
      </c>
      <c r="F206" s="14">
        <v>1.2899999999999999E-3</v>
      </c>
      <c r="G206" s="14">
        <v>1.1797500000000001</v>
      </c>
      <c r="H206" s="14">
        <v>1.3208</v>
      </c>
      <c r="I206" s="14">
        <v>4.6315000000000002E-2</v>
      </c>
      <c r="J206" s="14">
        <v>0.11143</v>
      </c>
      <c r="K206" s="14">
        <v>0.28248000000000001</v>
      </c>
      <c r="L206" s="14">
        <v>2.3560000000000001E-2</v>
      </c>
    </row>
    <row r="207" spans="1:12" x14ac:dyDescent="0.3">
      <c r="A207" s="61">
        <v>44081</v>
      </c>
      <c r="B207" s="14">
        <v>1.3390000000000001E-2</v>
      </c>
      <c r="C207" s="14">
        <v>0.72814999999999996</v>
      </c>
      <c r="D207" s="14">
        <v>0.18923000000000001</v>
      </c>
      <c r="E207" s="14">
        <v>0.76446499999999995</v>
      </c>
      <c r="F207" s="14">
        <v>1.2899999999999999E-3</v>
      </c>
      <c r="G207" s="14">
        <v>1.18265</v>
      </c>
      <c r="H207" s="14">
        <v>1.31785</v>
      </c>
      <c r="I207" s="14">
        <v>4.6344999999999997E-2</v>
      </c>
      <c r="J207" s="14">
        <v>0.11217000000000001</v>
      </c>
      <c r="K207" s="14">
        <v>0.28156500000000001</v>
      </c>
      <c r="L207" s="14">
        <v>2.3555E-2</v>
      </c>
    </row>
    <row r="208" spans="1:12" x14ac:dyDescent="0.3">
      <c r="A208" s="61">
        <v>44082</v>
      </c>
      <c r="B208" s="14">
        <v>1.338E-2</v>
      </c>
      <c r="C208" s="14">
        <v>0.72334999999999994</v>
      </c>
      <c r="D208" s="14">
        <v>0.18923000000000001</v>
      </c>
      <c r="E208" s="14">
        <v>0.75791500000000001</v>
      </c>
      <c r="F208" s="14">
        <v>1.2800000000000001E-3</v>
      </c>
      <c r="G208" s="14">
        <v>1.1792499999999999</v>
      </c>
      <c r="H208" s="14">
        <v>1.3025</v>
      </c>
      <c r="I208" s="14">
        <v>4.6004999999999997E-2</v>
      </c>
      <c r="J208" s="14">
        <v>0.110055</v>
      </c>
      <c r="K208" s="14">
        <v>0.28276000000000001</v>
      </c>
      <c r="L208" s="14">
        <v>2.3545E-2</v>
      </c>
    </row>
    <row r="209" spans="1:12" x14ac:dyDescent="0.3">
      <c r="A209" s="61">
        <v>44083</v>
      </c>
      <c r="B209" s="14">
        <v>1.337E-2</v>
      </c>
      <c r="C209" s="14">
        <v>0.72724999999999995</v>
      </c>
      <c r="D209" s="14">
        <v>0.18623000000000001</v>
      </c>
      <c r="E209" s="14">
        <v>0.75906499999999999</v>
      </c>
      <c r="F209" s="14">
        <v>1.2999999999999999E-3</v>
      </c>
      <c r="G209" s="14">
        <v>1.1809000000000001</v>
      </c>
      <c r="H209" s="14">
        <v>1.2999499999999999</v>
      </c>
      <c r="I209" s="14">
        <v>4.6484999999999999E-2</v>
      </c>
      <c r="J209" s="14">
        <v>0.110815</v>
      </c>
      <c r="K209" s="14">
        <v>0.28220000000000001</v>
      </c>
      <c r="L209" s="14">
        <v>2.3525000000000001E-2</v>
      </c>
    </row>
    <row r="210" spans="1:12" x14ac:dyDescent="0.3">
      <c r="A210" s="61">
        <v>44084</v>
      </c>
      <c r="B210" s="14">
        <v>1.336E-2</v>
      </c>
      <c r="C210" s="14">
        <v>0.72894999999999999</v>
      </c>
      <c r="D210" s="14">
        <v>0.18859999999999999</v>
      </c>
      <c r="E210" s="14">
        <v>0.75967000000000007</v>
      </c>
      <c r="F210" s="14">
        <v>1.2999999999999999E-3</v>
      </c>
      <c r="G210" s="14">
        <v>1.1870499999999999</v>
      </c>
      <c r="H210" s="14">
        <v>1.2865</v>
      </c>
      <c r="I210" s="14">
        <v>4.7020000000000013E-2</v>
      </c>
      <c r="J210" s="14">
        <v>0.111015</v>
      </c>
      <c r="K210" s="14">
        <v>0.28283999999999998</v>
      </c>
      <c r="L210" s="14">
        <v>2.3505000000000002E-2</v>
      </c>
    </row>
    <row r="211" spans="1:12" x14ac:dyDescent="0.3">
      <c r="A211" s="61">
        <v>44085</v>
      </c>
      <c r="B211" s="14">
        <v>1.3344999999999999E-2</v>
      </c>
      <c r="C211" s="14">
        <v>0.72775000000000001</v>
      </c>
      <c r="D211" s="14">
        <v>0.18890999999999999</v>
      </c>
      <c r="E211" s="14">
        <v>0.75817500000000004</v>
      </c>
      <c r="F211" s="14">
        <v>1.2999999999999999E-3</v>
      </c>
      <c r="G211" s="14">
        <v>1.1831</v>
      </c>
      <c r="H211" s="14">
        <v>1.2783</v>
      </c>
      <c r="I211" s="14">
        <v>4.6975000000000003E-2</v>
      </c>
      <c r="J211" s="14">
        <v>0.110525</v>
      </c>
      <c r="K211" s="14">
        <v>0.28239999999999998</v>
      </c>
      <c r="L211" s="14">
        <v>2.3525000000000001E-2</v>
      </c>
    </row>
    <row r="212" spans="1:12" x14ac:dyDescent="0.3">
      <c r="A212" s="61">
        <v>44086</v>
      </c>
      <c r="B212" s="14">
        <v>1.3344999999999999E-2</v>
      </c>
      <c r="C212" s="14">
        <v>0.72775000000000001</v>
      </c>
      <c r="D212" s="14">
        <v>0.18890999999999999</v>
      </c>
      <c r="E212" s="14">
        <v>0.75817500000000004</v>
      </c>
      <c r="F212" s="14">
        <v>1.2999999999999999E-3</v>
      </c>
      <c r="G212" s="14">
        <v>1.1831</v>
      </c>
      <c r="H212" s="14">
        <v>1.2783</v>
      </c>
      <c r="I212" s="14">
        <v>4.6975000000000003E-2</v>
      </c>
      <c r="J212" s="14">
        <v>0.110525</v>
      </c>
      <c r="K212" s="14">
        <v>0.28239999999999998</v>
      </c>
      <c r="L212" s="14">
        <v>2.3525000000000001E-2</v>
      </c>
    </row>
    <row r="213" spans="1:12" x14ac:dyDescent="0.3">
      <c r="A213" s="61">
        <v>44087</v>
      </c>
      <c r="B213" s="14">
        <v>1.3344999999999999E-2</v>
      </c>
      <c r="C213" s="14">
        <v>0.72775000000000001</v>
      </c>
      <c r="D213" s="14">
        <v>0.18890999999999999</v>
      </c>
      <c r="E213" s="14">
        <v>0.75817500000000004</v>
      </c>
      <c r="F213" s="14">
        <v>1.2999999999999999E-3</v>
      </c>
      <c r="G213" s="14">
        <v>1.1831</v>
      </c>
      <c r="H213" s="14">
        <v>1.2783</v>
      </c>
      <c r="I213" s="14">
        <v>4.6975000000000003E-2</v>
      </c>
      <c r="J213" s="14">
        <v>0.110525</v>
      </c>
      <c r="K213" s="14">
        <v>0.28239999999999998</v>
      </c>
      <c r="L213" s="14">
        <v>2.3525000000000001E-2</v>
      </c>
    </row>
    <row r="214" spans="1:12" x14ac:dyDescent="0.3">
      <c r="A214" s="61">
        <v>44088</v>
      </c>
      <c r="B214" s="14">
        <v>1.3310000000000001E-2</v>
      </c>
      <c r="C214" s="14">
        <v>0.72944999999999993</v>
      </c>
      <c r="D214" s="14">
        <v>0.18920999999999999</v>
      </c>
      <c r="E214" s="14">
        <v>0.75906499999999999</v>
      </c>
      <c r="F214" s="14">
        <v>1.2999999999999999E-3</v>
      </c>
      <c r="G214" s="14">
        <v>1.1872</v>
      </c>
      <c r="H214" s="14">
        <v>1.2882</v>
      </c>
      <c r="I214" s="14">
        <v>4.7484999999999999E-2</v>
      </c>
      <c r="J214" s="14">
        <v>0.11093500000000001</v>
      </c>
      <c r="K214" s="14">
        <v>0.28050000000000003</v>
      </c>
      <c r="L214" s="14">
        <v>2.3535E-2</v>
      </c>
    </row>
    <row r="215" spans="1:12" x14ac:dyDescent="0.3">
      <c r="A215" s="61">
        <v>44089</v>
      </c>
      <c r="B215" s="14">
        <v>1.3295E-2</v>
      </c>
      <c r="C215" s="14">
        <v>0.73025000000000007</v>
      </c>
      <c r="D215" s="14">
        <v>0.18873999999999999</v>
      </c>
      <c r="E215" s="14">
        <v>0.75889499999999999</v>
      </c>
      <c r="F215" s="14">
        <v>1.31E-3</v>
      </c>
      <c r="G215" s="14">
        <v>1.1850499999999999</v>
      </c>
      <c r="H215" s="14">
        <v>1.2853000000000001</v>
      </c>
      <c r="I215" s="14">
        <v>4.7460000000000002E-2</v>
      </c>
      <c r="J215" s="14">
        <v>0.110555</v>
      </c>
      <c r="K215" s="14">
        <v>0.28034500000000001</v>
      </c>
      <c r="L215" s="14">
        <v>2.3535E-2</v>
      </c>
    </row>
    <row r="216" spans="1:12" x14ac:dyDescent="0.3">
      <c r="A216" s="61">
        <v>44090</v>
      </c>
      <c r="B216" s="14">
        <v>1.3285E-2</v>
      </c>
      <c r="C216" s="14">
        <v>0.73314999999999997</v>
      </c>
      <c r="D216" s="14">
        <v>0.18966</v>
      </c>
      <c r="E216" s="14">
        <v>0.75909499999999996</v>
      </c>
      <c r="F216" s="14">
        <v>1.31E-3</v>
      </c>
      <c r="G216" s="14">
        <v>1.18285</v>
      </c>
      <c r="H216" s="14">
        <v>1.3002</v>
      </c>
      <c r="I216" s="14">
        <v>4.7594999999999998E-2</v>
      </c>
      <c r="J216" s="14">
        <v>0.11089</v>
      </c>
      <c r="K216" s="14">
        <v>0.28164499999999998</v>
      </c>
      <c r="L216" s="14">
        <v>2.3545E-2</v>
      </c>
    </row>
    <row r="217" spans="1:12" x14ac:dyDescent="0.3">
      <c r="A217" s="61">
        <v>44091</v>
      </c>
      <c r="B217" s="14">
        <v>1.3270000000000001E-2</v>
      </c>
      <c r="C217" s="14">
        <v>0.72865000000000002</v>
      </c>
      <c r="D217" s="14">
        <v>0.19037000000000001</v>
      </c>
      <c r="E217" s="14">
        <v>0.75688500000000003</v>
      </c>
      <c r="F217" s="14">
        <v>1.305E-3</v>
      </c>
      <c r="G217" s="14">
        <v>1.18075</v>
      </c>
      <c r="H217" s="14">
        <v>1.2948999999999999</v>
      </c>
      <c r="I217" s="14">
        <v>4.7605000000000001E-2</v>
      </c>
      <c r="J217" s="14">
        <v>0.11006000000000001</v>
      </c>
      <c r="K217" s="14">
        <v>0.28248000000000001</v>
      </c>
      <c r="L217" s="14">
        <v>2.3560000000000001E-2</v>
      </c>
    </row>
    <row r="218" spans="1:12" x14ac:dyDescent="0.3">
      <c r="A218" s="61">
        <v>44092</v>
      </c>
      <c r="B218" s="14">
        <v>1.3259999999999999E-2</v>
      </c>
      <c r="C218" s="14">
        <v>0.73065000000000002</v>
      </c>
      <c r="D218" s="14">
        <v>0.19014500000000001</v>
      </c>
      <c r="E218" s="14">
        <v>0.75860499999999997</v>
      </c>
      <c r="F218" s="14">
        <v>1.305E-3</v>
      </c>
      <c r="G218" s="14">
        <v>1.1859999999999999</v>
      </c>
      <c r="H218" s="14">
        <v>1.2960499999999999</v>
      </c>
      <c r="I218" s="14">
        <v>4.7634999999999997E-2</v>
      </c>
      <c r="J218" s="14">
        <v>0.11025500000000001</v>
      </c>
      <c r="K218" s="14">
        <v>0.28283999999999998</v>
      </c>
      <c r="L218" s="14">
        <v>2.3560000000000001E-2</v>
      </c>
    </row>
    <row r="219" spans="1:12" x14ac:dyDescent="0.3">
      <c r="A219" s="61">
        <v>44093</v>
      </c>
      <c r="B219" s="14">
        <v>1.3259999999999999E-2</v>
      </c>
      <c r="C219" s="14">
        <v>0.73065000000000002</v>
      </c>
      <c r="D219" s="14">
        <v>0.19014500000000001</v>
      </c>
      <c r="E219" s="14">
        <v>0.75860499999999997</v>
      </c>
      <c r="F219" s="14">
        <v>1.305E-3</v>
      </c>
      <c r="G219" s="14">
        <v>1.1859999999999999</v>
      </c>
      <c r="H219" s="14">
        <v>1.2960499999999999</v>
      </c>
      <c r="I219" s="14">
        <v>4.7634999999999997E-2</v>
      </c>
      <c r="J219" s="14">
        <v>0.11025500000000001</v>
      </c>
      <c r="K219" s="14">
        <v>0.28283999999999998</v>
      </c>
      <c r="L219" s="14">
        <v>2.3560000000000001E-2</v>
      </c>
    </row>
    <row r="220" spans="1:12" x14ac:dyDescent="0.3">
      <c r="A220" s="61">
        <v>44094</v>
      </c>
      <c r="B220" s="14">
        <v>1.3259999999999999E-2</v>
      </c>
      <c r="C220" s="14">
        <v>0.73065000000000002</v>
      </c>
      <c r="D220" s="14">
        <v>0.19014500000000001</v>
      </c>
      <c r="E220" s="14">
        <v>0.75860499999999997</v>
      </c>
      <c r="F220" s="14">
        <v>1.305E-3</v>
      </c>
      <c r="G220" s="14">
        <v>1.1859999999999999</v>
      </c>
      <c r="H220" s="14">
        <v>1.2960499999999999</v>
      </c>
      <c r="I220" s="14">
        <v>4.7634999999999997E-2</v>
      </c>
      <c r="J220" s="14">
        <v>0.11025500000000001</v>
      </c>
      <c r="K220" s="14">
        <v>0.28283999999999998</v>
      </c>
      <c r="L220" s="14">
        <v>2.3560000000000001E-2</v>
      </c>
    </row>
    <row r="221" spans="1:12" x14ac:dyDescent="0.3">
      <c r="A221" s="61">
        <v>44095</v>
      </c>
      <c r="B221" s="14">
        <v>1.3225000000000001E-2</v>
      </c>
      <c r="C221" s="14">
        <v>0.72065000000000001</v>
      </c>
      <c r="D221" s="14">
        <v>0.18908</v>
      </c>
      <c r="E221" s="14">
        <v>0.75175999999999998</v>
      </c>
      <c r="F221" s="14">
        <v>1.2899999999999999E-3</v>
      </c>
      <c r="G221" s="14">
        <v>1.1742999999999999</v>
      </c>
      <c r="H221" s="14">
        <v>1.27955</v>
      </c>
      <c r="I221" s="14">
        <v>4.6344999999999997E-2</v>
      </c>
      <c r="J221" s="14">
        <v>0.1072</v>
      </c>
      <c r="K221" s="14">
        <v>0.28367999999999999</v>
      </c>
      <c r="L221" s="14">
        <v>2.3560000000000001E-2</v>
      </c>
    </row>
    <row r="222" spans="1:12" x14ac:dyDescent="0.3">
      <c r="A222" s="61">
        <v>44096</v>
      </c>
      <c r="B222" s="14">
        <v>1.3214999999999999E-2</v>
      </c>
      <c r="C222" s="14">
        <v>0.71765000000000001</v>
      </c>
      <c r="D222" s="14">
        <v>0.18368999999999999</v>
      </c>
      <c r="E222" s="14">
        <v>0.74995999999999996</v>
      </c>
      <c r="F222" s="14">
        <v>1.2899999999999999E-3</v>
      </c>
      <c r="G222" s="14">
        <v>1.17055</v>
      </c>
      <c r="H222" s="14">
        <v>1.2724</v>
      </c>
      <c r="I222" s="14">
        <v>4.6455000000000003E-2</v>
      </c>
      <c r="J222" s="14">
        <v>0.10693</v>
      </c>
      <c r="K222" s="14">
        <v>0.28211999999999998</v>
      </c>
      <c r="L222" s="14">
        <v>2.3555E-2</v>
      </c>
    </row>
    <row r="223" spans="1:12" x14ac:dyDescent="0.3">
      <c r="A223" s="61">
        <v>44097</v>
      </c>
      <c r="B223" s="14">
        <v>1.32E-2</v>
      </c>
      <c r="C223" s="14">
        <v>0.71055000000000001</v>
      </c>
      <c r="D223" s="14">
        <v>0.18407000000000001</v>
      </c>
      <c r="E223" s="14">
        <v>0.74832999999999994</v>
      </c>
      <c r="F223" s="14">
        <v>1.2700000000000001E-3</v>
      </c>
      <c r="G223" s="14">
        <v>1.1673500000000001</v>
      </c>
      <c r="H223" s="14">
        <v>1.2763</v>
      </c>
      <c r="I223" s="14">
        <v>4.5144999999999998E-2</v>
      </c>
      <c r="J223" s="14">
        <v>0.10599</v>
      </c>
      <c r="K223" s="14">
        <v>0.28140999999999999</v>
      </c>
      <c r="L223" s="14">
        <v>2.359E-2</v>
      </c>
    </row>
    <row r="224" spans="1:12" x14ac:dyDescent="0.3">
      <c r="A224" s="61">
        <v>44098</v>
      </c>
      <c r="B224" s="14">
        <v>1.319E-2</v>
      </c>
      <c r="C224" s="14">
        <v>0.70235000000000003</v>
      </c>
      <c r="D224" s="14">
        <v>0.18079999999999999</v>
      </c>
      <c r="E224" s="14">
        <v>0.74595500000000003</v>
      </c>
      <c r="F224" s="14">
        <v>1.2600000000000001E-3</v>
      </c>
      <c r="G224" s="14">
        <v>1.16405</v>
      </c>
      <c r="H224" s="14">
        <v>1.2715000000000001</v>
      </c>
      <c r="I224" s="14">
        <v>4.444E-2</v>
      </c>
      <c r="J224" s="14">
        <v>0.10433000000000001</v>
      </c>
      <c r="K224" s="14">
        <v>0.28033999999999998</v>
      </c>
      <c r="L224" s="14">
        <v>2.359E-2</v>
      </c>
    </row>
    <row r="225" spans="1:12" x14ac:dyDescent="0.3">
      <c r="A225" s="61">
        <v>44099</v>
      </c>
      <c r="B225" s="14">
        <v>1.3180000000000001E-2</v>
      </c>
      <c r="C225" s="14">
        <v>0.70165</v>
      </c>
      <c r="D225" s="14">
        <v>0.17949000000000001</v>
      </c>
      <c r="E225" s="14">
        <v>0.74584499999999998</v>
      </c>
      <c r="F225" s="14">
        <v>1.2650000000000001E-3</v>
      </c>
      <c r="G225" s="14">
        <v>1.1618999999999999</v>
      </c>
      <c r="H225" s="14">
        <v>1.2704500000000001</v>
      </c>
      <c r="I225" s="14">
        <v>4.4630000000000003E-2</v>
      </c>
      <c r="J225" s="14">
        <v>0.10435999999999999</v>
      </c>
      <c r="K225" s="14">
        <v>0.27944000000000002</v>
      </c>
      <c r="L225" s="14">
        <v>2.3515000000000001E-2</v>
      </c>
    </row>
    <row r="226" spans="1:12" x14ac:dyDescent="0.3">
      <c r="A226" s="61">
        <v>44100</v>
      </c>
      <c r="B226" s="14">
        <v>1.3180000000000001E-2</v>
      </c>
      <c r="C226" s="14">
        <v>0.70165</v>
      </c>
      <c r="D226" s="14">
        <v>0.17949000000000001</v>
      </c>
      <c r="E226" s="14">
        <v>0.74584499999999998</v>
      </c>
      <c r="F226" s="14">
        <v>1.2650000000000001E-3</v>
      </c>
      <c r="G226" s="14">
        <v>1.1618999999999999</v>
      </c>
      <c r="H226" s="14">
        <v>1.2704500000000001</v>
      </c>
      <c r="I226" s="14">
        <v>4.4630000000000003E-2</v>
      </c>
      <c r="J226" s="14">
        <v>0.10435999999999999</v>
      </c>
      <c r="K226" s="14">
        <v>0.27944000000000002</v>
      </c>
      <c r="L226" s="14">
        <v>2.3515000000000001E-2</v>
      </c>
    </row>
    <row r="227" spans="1:12" x14ac:dyDescent="0.3">
      <c r="A227" s="61">
        <v>44101</v>
      </c>
      <c r="B227" s="14">
        <v>1.3180000000000001E-2</v>
      </c>
      <c r="C227" s="14">
        <v>0.70165</v>
      </c>
      <c r="D227" s="14">
        <v>0.17949000000000001</v>
      </c>
      <c r="E227" s="14">
        <v>0.74584499999999998</v>
      </c>
      <c r="F227" s="14">
        <v>1.2650000000000001E-3</v>
      </c>
      <c r="G227" s="14">
        <v>1.1618999999999999</v>
      </c>
      <c r="H227" s="14">
        <v>1.2704500000000001</v>
      </c>
      <c r="I227" s="14">
        <v>4.4630000000000003E-2</v>
      </c>
      <c r="J227" s="14">
        <v>0.10435999999999999</v>
      </c>
      <c r="K227" s="14">
        <v>0.27944000000000002</v>
      </c>
      <c r="L227" s="14">
        <v>2.3515000000000001E-2</v>
      </c>
    </row>
    <row r="228" spans="1:12" x14ac:dyDescent="0.3">
      <c r="A228" s="61">
        <v>44102</v>
      </c>
      <c r="B228" s="14">
        <v>1.3140000000000001E-2</v>
      </c>
      <c r="C228" s="14">
        <v>0.70494999999999997</v>
      </c>
      <c r="D228" s="14">
        <v>0.17963999999999999</v>
      </c>
      <c r="E228" s="14">
        <v>0.74670999999999998</v>
      </c>
      <c r="F228" s="14">
        <v>1.2700000000000001E-3</v>
      </c>
      <c r="G228" s="14">
        <v>1.1645000000000001</v>
      </c>
      <c r="H228" s="14">
        <v>1.2841499999999999</v>
      </c>
      <c r="I228" s="14">
        <v>4.4420000000000001E-2</v>
      </c>
      <c r="J228" s="14">
        <v>0.10518</v>
      </c>
      <c r="K228" s="14">
        <v>0.27847</v>
      </c>
      <c r="L228" s="14">
        <v>2.3494999999999999E-2</v>
      </c>
    </row>
    <row r="229" spans="1:12" x14ac:dyDescent="0.3">
      <c r="A229" s="61">
        <v>44103</v>
      </c>
      <c r="B229" s="14">
        <v>1.3129999999999999E-2</v>
      </c>
      <c r="C229" s="14">
        <v>0.71174999999999999</v>
      </c>
      <c r="D229" s="14">
        <v>0.17902999999999999</v>
      </c>
      <c r="E229" s="14">
        <v>0.74581999999999993</v>
      </c>
      <c r="F229" s="14">
        <v>1.2700000000000001E-3</v>
      </c>
      <c r="G229" s="14">
        <v>1.1731</v>
      </c>
      <c r="H229" s="14">
        <v>1.2840499999999999</v>
      </c>
      <c r="I229" s="14">
        <v>4.4699999999999997E-2</v>
      </c>
      <c r="J229" s="14">
        <v>0.10602499999999999</v>
      </c>
      <c r="K229" s="14">
        <v>0.27846500000000002</v>
      </c>
      <c r="L229" s="14">
        <v>2.3519999999999999E-2</v>
      </c>
    </row>
    <row r="230" spans="1:12" x14ac:dyDescent="0.3">
      <c r="A230" s="61">
        <v>44104</v>
      </c>
      <c r="B230" s="14">
        <v>1.312E-2</v>
      </c>
      <c r="C230" s="14">
        <v>0.71675</v>
      </c>
      <c r="D230" s="14">
        <v>0.17691000000000001</v>
      </c>
      <c r="E230" s="14">
        <v>0.74863500000000005</v>
      </c>
      <c r="F230" s="14">
        <v>1.2600000000000001E-3</v>
      </c>
      <c r="G230" s="14">
        <v>1.17265</v>
      </c>
      <c r="H230" s="14">
        <v>1.2927999999999999</v>
      </c>
      <c r="I230" s="14">
        <v>4.5295000000000002E-2</v>
      </c>
      <c r="J230" s="14">
        <v>0.10687000000000001</v>
      </c>
      <c r="K230" s="14">
        <v>0.27819500000000003</v>
      </c>
      <c r="L230" s="14">
        <v>2.3535E-2</v>
      </c>
    </row>
    <row r="231" spans="1:12" x14ac:dyDescent="0.3">
      <c r="A231" s="61">
        <v>44105</v>
      </c>
      <c r="B231" s="14">
        <v>1.311E-2</v>
      </c>
      <c r="C231" s="14">
        <v>0.71825000000000006</v>
      </c>
      <c r="D231" s="14">
        <v>0.17729</v>
      </c>
      <c r="E231" s="14">
        <v>0.75187500000000007</v>
      </c>
      <c r="F231" s="14">
        <v>1.2700000000000001E-3</v>
      </c>
      <c r="G231" s="14">
        <v>1.1735500000000001</v>
      </c>
      <c r="H231" s="14">
        <v>1.2867</v>
      </c>
      <c r="I231" s="14">
        <v>4.5539999999999997E-2</v>
      </c>
      <c r="J231" s="14">
        <v>0.10736</v>
      </c>
      <c r="K231" s="14">
        <v>0.278005</v>
      </c>
      <c r="L231" s="14">
        <v>2.3494999999999999E-2</v>
      </c>
    </row>
    <row r="232" spans="1:12" x14ac:dyDescent="0.3">
      <c r="A232" s="61">
        <v>44106</v>
      </c>
      <c r="B232" s="14">
        <v>1.299E-2</v>
      </c>
      <c r="C232" s="14">
        <v>0.71625000000000005</v>
      </c>
      <c r="D232" s="14">
        <v>0.17718</v>
      </c>
      <c r="E232" s="14">
        <v>0.750745</v>
      </c>
      <c r="F232" s="14">
        <v>1.2600000000000001E-3</v>
      </c>
      <c r="G232" s="14">
        <v>1.1714500000000001</v>
      </c>
      <c r="H232" s="14">
        <v>1.29345</v>
      </c>
      <c r="I232" s="14">
        <v>4.6010000000000002E-2</v>
      </c>
      <c r="J232" s="14">
        <v>0.107525</v>
      </c>
      <c r="K232" s="14">
        <v>0.27742499999999998</v>
      </c>
      <c r="L232" s="14">
        <v>2.3505000000000002E-2</v>
      </c>
    </row>
    <row r="233" spans="1:12" x14ac:dyDescent="0.3">
      <c r="A233" s="61">
        <v>44107</v>
      </c>
      <c r="B233" s="14">
        <v>1.299E-2</v>
      </c>
      <c r="C233" s="14">
        <v>0.71625000000000005</v>
      </c>
      <c r="D233" s="14">
        <v>0.17718</v>
      </c>
      <c r="E233" s="14">
        <v>0.750745</v>
      </c>
      <c r="F233" s="14">
        <v>1.2600000000000001E-3</v>
      </c>
      <c r="G233" s="14">
        <v>1.1714500000000001</v>
      </c>
      <c r="H233" s="14">
        <v>1.29345</v>
      </c>
      <c r="I233" s="14">
        <v>4.6010000000000002E-2</v>
      </c>
      <c r="J233" s="14">
        <v>0.107525</v>
      </c>
      <c r="K233" s="14">
        <v>0.27742499999999998</v>
      </c>
      <c r="L233" s="14">
        <v>2.3505000000000002E-2</v>
      </c>
    </row>
    <row r="234" spans="1:12" x14ac:dyDescent="0.3">
      <c r="A234" s="61">
        <v>44108</v>
      </c>
      <c r="B234" s="14">
        <v>1.299E-2</v>
      </c>
      <c r="C234" s="14">
        <v>0.71625000000000005</v>
      </c>
      <c r="D234" s="14">
        <v>0.17718</v>
      </c>
      <c r="E234" s="14">
        <v>0.750745</v>
      </c>
      <c r="F234" s="14">
        <v>1.2600000000000001E-3</v>
      </c>
      <c r="G234" s="14">
        <v>1.1714500000000001</v>
      </c>
      <c r="H234" s="14">
        <v>1.29345</v>
      </c>
      <c r="I234" s="14">
        <v>4.6010000000000002E-2</v>
      </c>
      <c r="J234" s="14">
        <v>0.107525</v>
      </c>
      <c r="K234" s="14">
        <v>0.27742499999999998</v>
      </c>
      <c r="L234" s="14">
        <v>2.3505000000000002E-2</v>
      </c>
    </row>
    <row r="235" spans="1:12" x14ac:dyDescent="0.3">
      <c r="A235" s="61">
        <v>44109</v>
      </c>
      <c r="B235" s="14">
        <v>1.2970000000000001E-2</v>
      </c>
      <c r="C235" s="14">
        <v>0.71904999999999997</v>
      </c>
      <c r="D235" s="14">
        <v>0.17710999999999999</v>
      </c>
      <c r="E235" s="14">
        <v>0.75385499999999994</v>
      </c>
      <c r="F235" s="14">
        <v>1.25E-3</v>
      </c>
      <c r="G235" s="14">
        <v>1.1792499999999999</v>
      </c>
      <c r="H235" s="14">
        <v>1.2978000000000001</v>
      </c>
      <c r="I235" s="14">
        <v>4.6890000000000001E-2</v>
      </c>
      <c r="J235" s="14">
        <v>0.108705</v>
      </c>
      <c r="K235" s="14">
        <v>0.27639000000000002</v>
      </c>
      <c r="L235" s="14">
        <v>2.3494999999999999E-2</v>
      </c>
    </row>
    <row r="236" spans="1:12" x14ac:dyDescent="0.3">
      <c r="A236" s="61">
        <v>44110</v>
      </c>
      <c r="B236" s="14">
        <v>1.2975E-2</v>
      </c>
      <c r="C236" s="14">
        <v>0.71625000000000005</v>
      </c>
      <c r="D236" s="14">
        <v>0.17763000000000001</v>
      </c>
      <c r="E236" s="14">
        <v>0.753915</v>
      </c>
      <c r="F236" s="14">
        <v>1.25E-3</v>
      </c>
      <c r="G236" s="14">
        <v>1.1791499999999999</v>
      </c>
      <c r="H236" s="14">
        <v>1.2971999999999999</v>
      </c>
      <c r="I236" s="14">
        <v>4.666E-2</v>
      </c>
      <c r="J236" s="14">
        <v>0.10798000000000001</v>
      </c>
      <c r="K236" s="14">
        <v>0.27692499999999998</v>
      </c>
      <c r="L236" s="14">
        <v>2.3529999999999999E-2</v>
      </c>
    </row>
    <row r="237" spans="1:12" x14ac:dyDescent="0.3">
      <c r="A237" s="61">
        <v>44111</v>
      </c>
      <c r="B237" s="14">
        <v>1.2959999999999999E-2</v>
      </c>
      <c r="C237" s="14">
        <v>0.71379999999999999</v>
      </c>
      <c r="D237" s="14">
        <v>0.18115000000000001</v>
      </c>
      <c r="E237" s="14">
        <v>0.752695</v>
      </c>
      <c r="F237" s="14">
        <v>1.25E-3</v>
      </c>
      <c r="G237" s="14">
        <v>1.17615</v>
      </c>
      <c r="H237" s="14">
        <v>1.2899</v>
      </c>
      <c r="I237" s="14">
        <v>4.65E-2</v>
      </c>
      <c r="J237" s="14">
        <v>0.10739</v>
      </c>
      <c r="K237" s="14">
        <v>0.279055</v>
      </c>
      <c r="L237" s="14">
        <v>2.351E-2</v>
      </c>
    </row>
    <row r="238" spans="1:12" x14ac:dyDescent="0.3">
      <c r="A238" s="61">
        <v>44112</v>
      </c>
      <c r="B238" s="14">
        <v>1.2965000000000001E-2</v>
      </c>
      <c r="C238" s="14">
        <v>0.71575</v>
      </c>
      <c r="D238" s="14">
        <v>0.17852000000000001</v>
      </c>
      <c r="E238" s="14">
        <v>0.75616499999999998</v>
      </c>
      <c r="F238" s="14">
        <v>1.25E-3</v>
      </c>
      <c r="G238" s="14">
        <v>1.1748499999999999</v>
      </c>
      <c r="H238" s="14">
        <v>1.2928999999999999</v>
      </c>
      <c r="I238" s="14">
        <v>4.6640000000000001E-2</v>
      </c>
      <c r="J238" s="14">
        <v>0.10768999999999999</v>
      </c>
      <c r="K238" s="14">
        <v>0.27940500000000001</v>
      </c>
      <c r="L238" s="14">
        <v>2.3505000000000002E-2</v>
      </c>
    </row>
    <row r="239" spans="1:12" x14ac:dyDescent="0.3">
      <c r="A239" s="61">
        <v>44113</v>
      </c>
      <c r="B239" s="14">
        <v>1.2965000000000001E-2</v>
      </c>
      <c r="C239" s="14">
        <v>0.72275</v>
      </c>
      <c r="D239" s="14">
        <v>0.17793999999999999</v>
      </c>
      <c r="E239" s="14">
        <v>0.76134999999999997</v>
      </c>
      <c r="F239" s="14">
        <v>1.25E-3</v>
      </c>
      <c r="G239" s="14">
        <v>1.1814499999999999</v>
      </c>
      <c r="H239" s="14">
        <v>1.2998000000000001</v>
      </c>
      <c r="I239" s="14">
        <v>4.718E-2</v>
      </c>
      <c r="J239" s="14">
        <v>0.109205</v>
      </c>
      <c r="K239" s="14">
        <v>0.27944000000000002</v>
      </c>
      <c r="L239" s="14">
        <v>2.3494999999999999E-2</v>
      </c>
    </row>
    <row r="240" spans="1:12" x14ac:dyDescent="0.3">
      <c r="A240" s="61">
        <v>44114</v>
      </c>
      <c r="B240" s="14">
        <v>1.2965000000000001E-2</v>
      </c>
      <c r="C240" s="14">
        <v>0.72275</v>
      </c>
      <c r="D240" s="14">
        <v>0.17793999999999999</v>
      </c>
      <c r="E240" s="14">
        <v>0.76134999999999997</v>
      </c>
      <c r="F240" s="14">
        <v>1.25E-3</v>
      </c>
      <c r="G240" s="14">
        <v>1.1814499999999999</v>
      </c>
      <c r="H240" s="14">
        <v>1.2998000000000001</v>
      </c>
      <c r="I240" s="14">
        <v>4.718E-2</v>
      </c>
      <c r="J240" s="14">
        <v>0.109205</v>
      </c>
      <c r="K240" s="14">
        <v>0.27944000000000002</v>
      </c>
      <c r="L240" s="14">
        <v>2.3494999999999999E-2</v>
      </c>
    </row>
    <row r="241" spans="1:12" x14ac:dyDescent="0.3">
      <c r="A241" s="61">
        <v>44115</v>
      </c>
      <c r="B241" s="14">
        <v>1.2965000000000001E-2</v>
      </c>
      <c r="C241" s="14">
        <v>0.72275</v>
      </c>
      <c r="D241" s="14">
        <v>0.17793999999999999</v>
      </c>
      <c r="E241" s="14">
        <v>0.76134999999999997</v>
      </c>
      <c r="F241" s="14">
        <v>1.25E-3</v>
      </c>
      <c r="G241" s="14">
        <v>1.1814499999999999</v>
      </c>
      <c r="H241" s="14">
        <v>1.2998000000000001</v>
      </c>
      <c r="I241" s="14">
        <v>4.718E-2</v>
      </c>
      <c r="J241" s="14">
        <v>0.109205</v>
      </c>
      <c r="K241" s="14">
        <v>0.27944000000000002</v>
      </c>
      <c r="L241" s="14">
        <v>2.3494999999999999E-2</v>
      </c>
    </row>
    <row r="242" spans="1:12" x14ac:dyDescent="0.3">
      <c r="A242" s="61">
        <v>44116</v>
      </c>
      <c r="B242" s="14">
        <v>1.2959999999999999E-2</v>
      </c>
      <c r="C242" s="14">
        <v>0.72124999999999995</v>
      </c>
      <c r="D242" s="14">
        <v>0.17793999999999999</v>
      </c>
      <c r="E242" s="14">
        <v>0.76306499999999999</v>
      </c>
      <c r="F242" s="14">
        <v>1.25E-3</v>
      </c>
      <c r="G242" s="14">
        <v>1.1812499999999999</v>
      </c>
      <c r="H242" s="14">
        <v>1.3066500000000001</v>
      </c>
      <c r="I242" s="14">
        <v>4.7135000000000003E-2</v>
      </c>
      <c r="J242" s="14">
        <v>0.10939</v>
      </c>
      <c r="K242" s="14">
        <v>0.27944000000000002</v>
      </c>
      <c r="L242" s="14">
        <v>2.349E-2</v>
      </c>
    </row>
    <row r="243" spans="1:12" x14ac:dyDescent="0.3">
      <c r="A243" s="61">
        <v>44117</v>
      </c>
      <c r="B243" s="14">
        <v>1.2970000000000001E-2</v>
      </c>
      <c r="C243" s="14">
        <v>0.71675</v>
      </c>
      <c r="D243" s="14">
        <v>0.18053</v>
      </c>
      <c r="E243" s="14">
        <v>0.76108500000000001</v>
      </c>
      <c r="F243" s="14">
        <v>1.25E-3</v>
      </c>
      <c r="G243" s="14">
        <v>1.1744000000000001</v>
      </c>
      <c r="H243" s="14">
        <v>1.2986</v>
      </c>
      <c r="I243" s="14">
        <v>4.6729999999999987E-2</v>
      </c>
      <c r="J243" s="14">
        <v>0.10854</v>
      </c>
      <c r="K243" s="14">
        <v>0.28003</v>
      </c>
      <c r="L243" s="14">
        <v>2.349E-2</v>
      </c>
    </row>
    <row r="244" spans="1:12" x14ac:dyDescent="0.3">
      <c r="A244" s="61">
        <v>44118</v>
      </c>
      <c r="B244" s="14">
        <v>1.291E-2</v>
      </c>
      <c r="C244" s="14">
        <v>0.71835000000000004</v>
      </c>
      <c r="D244" s="14">
        <v>0.17902499999999999</v>
      </c>
      <c r="E244" s="14">
        <v>0.76123499999999999</v>
      </c>
      <c r="F244" s="14">
        <v>1.25E-3</v>
      </c>
      <c r="G244" s="14">
        <v>1.1759500000000001</v>
      </c>
      <c r="H244" s="14">
        <v>1.304</v>
      </c>
      <c r="I244" s="14">
        <v>4.6984999999999999E-2</v>
      </c>
      <c r="J244" s="14">
        <v>0.10876</v>
      </c>
      <c r="K244" s="14">
        <v>0.27823500000000001</v>
      </c>
      <c r="L244" s="14">
        <v>2.3449999999999999E-2</v>
      </c>
    </row>
    <row r="245" spans="1:12" x14ac:dyDescent="0.3">
      <c r="A245" s="61">
        <v>44119</v>
      </c>
      <c r="B245" s="14">
        <v>1.29E-2</v>
      </c>
      <c r="C245" s="14">
        <v>0.70774999999999999</v>
      </c>
      <c r="D245" s="14">
        <v>0.17962</v>
      </c>
      <c r="E245" s="14">
        <v>0.75482500000000008</v>
      </c>
      <c r="F245" s="14">
        <v>1.24E-3</v>
      </c>
      <c r="G245" s="14">
        <v>1.16995</v>
      </c>
      <c r="H245" s="14">
        <v>1.2908500000000001</v>
      </c>
      <c r="I245" s="14">
        <v>4.6710000000000002E-2</v>
      </c>
      <c r="J245" s="14">
        <v>0.106465</v>
      </c>
      <c r="K245" s="14">
        <v>0.27870499999999998</v>
      </c>
      <c r="L245" s="14">
        <v>2.3445000000000001E-2</v>
      </c>
    </row>
    <row r="246" spans="1:12" x14ac:dyDescent="0.3">
      <c r="A246" s="61">
        <v>44120</v>
      </c>
      <c r="B246" s="14">
        <v>1.29E-2</v>
      </c>
      <c r="C246" s="14">
        <v>0.70815000000000006</v>
      </c>
      <c r="D246" s="14">
        <v>0.17802999999999999</v>
      </c>
      <c r="E246" s="14">
        <v>0.75768499999999994</v>
      </c>
      <c r="F246" s="14">
        <v>1.25E-3</v>
      </c>
      <c r="G246" s="14">
        <v>1.1719999999999999</v>
      </c>
      <c r="H246" s="14">
        <v>1.2928500000000001</v>
      </c>
      <c r="I246" s="14">
        <v>4.7219999999999998E-2</v>
      </c>
      <c r="J246" s="14">
        <v>0.106875</v>
      </c>
      <c r="K246" s="14">
        <v>0.27877999999999997</v>
      </c>
      <c r="L246" s="14">
        <v>2.3349999999999999E-2</v>
      </c>
    </row>
    <row r="247" spans="1:12" x14ac:dyDescent="0.3">
      <c r="A247" s="61">
        <v>44121</v>
      </c>
      <c r="B247" s="14">
        <v>1.29E-2</v>
      </c>
      <c r="C247" s="14">
        <v>0.70815000000000006</v>
      </c>
      <c r="D247" s="14">
        <v>0.17802999999999999</v>
      </c>
      <c r="E247" s="14">
        <v>0.75768499999999994</v>
      </c>
      <c r="F247" s="14">
        <v>1.25E-3</v>
      </c>
      <c r="G247" s="14">
        <v>1.1719999999999999</v>
      </c>
      <c r="H247" s="14">
        <v>1.2928500000000001</v>
      </c>
      <c r="I247" s="14">
        <v>4.7219999999999998E-2</v>
      </c>
      <c r="J247" s="14">
        <v>0.106875</v>
      </c>
      <c r="K247" s="14">
        <v>0.27877999999999997</v>
      </c>
      <c r="L247" s="14">
        <v>2.3349999999999999E-2</v>
      </c>
    </row>
    <row r="248" spans="1:12" x14ac:dyDescent="0.3">
      <c r="A248" s="61">
        <v>44122</v>
      </c>
      <c r="B248" s="14">
        <v>1.29E-2</v>
      </c>
      <c r="C248" s="14">
        <v>0.70815000000000006</v>
      </c>
      <c r="D248" s="14">
        <v>0.17802999999999999</v>
      </c>
      <c r="E248" s="14">
        <v>0.75768499999999994</v>
      </c>
      <c r="F248" s="14">
        <v>1.25E-3</v>
      </c>
      <c r="G248" s="14">
        <v>1.1719999999999999</v>
      </c>
      <c r="H248" s="14">
        <v>1.2928500000000001</v>
      </c>
      <c r="I248" s="14">
        <v>4.7219999999999998E-2</v>
      </c>
      <c r="J248" s="14">
        <v>0.106875</v>
      </c>
      <c r="K248" s="14">
        <v>0.27877999999999997</v>
      </c>
      <c r="L248" s="14">
        <v>2.3349999999999999E-2</v>
      </c>
    </row>
    <row r="249" spans="1:12" x14ac:dyDescent="0.3">
      <c r="A249" s="61">
        <v>44123</v>
      </c>
      <c r="B249" s="14">
        <v>1.289E-2</v>
      </c>
      <c r="C249" s="14">
        <v>0.70904999999999996</v>
      </c>
      <c r="D249" s="14">
        <v>0.17785999999999999</v>
      </c>
      <c r="E249" s="14">
        <v>0.76027500000000003</v>
      </c>
      <c r="F249" s="14">
        <v>1.2650000000000001E-3</v>
      </c>
      <c r="G249" s="14">
        <v>1.1782999999999999</v>
      </c>
      <c r="H249" s="14">
        <v>1.2998499999999999</v>
      </c>
      <c r="I249" s="14">
        <v>4.7364999999999997E-2</v>
      </c>
      <c r="J249" s="14">
        <v>0.107615</v>
      </c>
      <c r="K249" s="14">
        <v>0.27948499999999998</v>
      </c>
      <c r="L249" s="14">
        <v>2.3314999999999999E-2</v>
      </c>
    </row>
    <row r="250" spans="1:12" x14ac:dyDescent="0.3">
      <c r="A250" s="61">
        <v>44124</v>
      </c>
      <c r="B250" s="14">
        <v>1.2880000000000001E-2</v>
      </c>
      <c r="C250" s="14">
        <v>0.70545000000000002</v>
      </c>
      <c r="D250" s="14">
        <v>0.17849999999999999</v>
      </c>
      <c r="E250" s="14">
        <v>0.76143499999999997</v>
      </c>
      <c r="F250" s="14">
        <v>1.2700000000000001E-3</v>
      </c>
      <c r="G250" s="14">
        <v>1.1830499999999999</v>
      </c>
      <c r="H250" s="14">
        <v>1.2962499999999999</v>
      </c>
      <c r="I250" s="14">
        <v>4.7390000000000002E-2</v>
      </c>
      <c r="J250" s="14">
        <v>0.10796</v>
      </c>
      <c r="K250" s="14">
        <v>0.27870499999999998</v>
      </c>
      <c r="L250" s="14">
        <v>2.3414999999999998E-2</v>
      </c>
    </row>
    <row r="251" spans="1:12" x14ac:dyDescent="0.3">
      <c r="A251" s="61">
        <v>44125</v>
      </c>
      <c r="B251" s="14">
        <v>1.2865E-2</v>
      </c>
      <c r="C251" s="14">
        <v>0.71235000000000004</v>
      </c>
      <c r="D251" s="14">
        <v>0.17912</v>
      </c>
      <c r="E251" s="14">
        <v>0.76277499999999998</v>
      </c>
      <c r="F251" s="14">
        <v>1.2700000000000001E-3</v>
      </c>
      <c r="G251" s="14">
        <v>1.1874499999999999</v>
      </c>
      <c r="H251" s="14">
        <v>1.3162499999999999</v>
      </c>
      <c r="I251" s="14">
        <v>4.7419999999999997E-2</v>
      </c>
      <c r="J251" s="14">
        <v>0.10867499999999999</v>
      </c>
      <c r="K251" s="14">
        <v>0.27877999999999997</v>
      </c>
      <c r="L251" s="14">
        <v>2.3429999999999999E-2</v>
      </c>
    </row>
    <row r="252" spans="1:12" x14ac:dyDescent="0.3">
      <c r="A252" s="61">
        <v>44126</v>
      </c>
      <c r="B252" s="14">
        <v>1.2805E-2</v>
      </c>
      <c r="C252" s="14">
        <v>0.71094999999999997</v>
      </c>
      <c r="D252" s="14">
        <v>0.17856</v>
      </c>
      <c r="E252" s="14">
        <v>0.76181500000000002</v>
      </c>
      <c r="F252" s="14">
        <v>1.2800000000000001E-3</v>
      </c>
      <c r="G252" s="14">
        <v>1.18275</v>
      </c>
      <c r="H252" s="14">
        <v>1.3093999999999999</v>
      </c>
      <c r="I252" s="14">
        <v>4.7625000000000001E-2</v>
      </c>
      <c r="J252" s="14">
        <v>0.108525</v>
      </c>
      <c r="K252" s="14">
        <v>0.278005</v>
      </c>
      <c r="L252" s="14">
        <v>2.3435000000000001E-2</v>
      </c>
    </row>
    <row r="253" spans="1:12" x14ac:dyDescent="0.3">
      <c r="A253" s="61">
        <v>44127</v>
      </c>
      <c r="B253" s="14">
        <v>1.2800000000000001E-2</v>
      </c>
      <c r="C253" s="14">
        <v>0.71025000000000005</v>
      </c>
      <c r="D253" s="14">
        <v>0.17915</v>
      </c>
      <c r="E253" s="14">
        <v>0.76033499999999998</v>
      </c>
      <c r="F253" s="14">
        <v>1.2800000000000001E-3</v>
      </c>
      <c r="G253" s="14">
        <v>1.1835500000000001</v>
      </c>
      <c r="H253" s="14">
        <v>1.3043</v>
      </c>
      <c r="I253" s="14">
        <v>4.786E-2</v>
      </c>
      <c r="J253" s="14">
        <v>0.107955</v>
      </c>
      <c r="K253" s="14">
        <v>0.277505</v>
      </c>
      <c r="L253" s="14">
        <v>2.3435000000000001E-2</v>
      </c>
    </row>
    <row r="254" spans="1:12" x14ac:dyDescent="0.3">
      <c r="A254" s="61">
        <v>44128</v>
      </c>
      <c r="B254" s="14">
        <v>1.2800000000000001E-2</v>
      </c>
      <c r="C254" s="14">
        <v>0.71025000000000005</v>
      </c>
      <c r="D254" s="14">
        <v>0.17915</v>
      </c>
      <c r="E254" s="14">
        <v>0.76033499999999998</v>
      </c>
      <c r="F254" s="14">
        <v>1.2800000000000001E-3</v>
      </c>
      <c r="G254" s="14">
        <v>1.1835500000000001</v>
      </c>
      <c r="H254" s="14">
        <v>1.3043</v>
      </c>
      <c r="I254" s="14">
        <v>4.786E-2</v>
      </c>
      <c r="J254" s="14">
        <v>0.107955</v>
      </c>
      <c r="K254" s="14">
        <v>0.277505</v>
      </c>
      <c r="L254" s="14">
        <v>2.3435000000000001E-2</v>
      </c>
    </row>
    <row r="255" spans="1:12" x14ac:dyDescent="0.3">
      <c r="A255" s="61">
        <v>44129</v>
      </c>
      <c r="B255" s="14">
        <v>1.2800000000000001E-2</v>
      </c>
      <c r="C255" s="14">
        <v>0.71025000000000005</v>
      </c>
      <c r="D255" s="14">
        <v>0.17915</v>
      </c>
      <c r="E255" s="14">
        <v>0.76033499999999998</v>
      </c>
      <c r="F255" s="14">
        <v>1.2800000000000001E-3</v>
      </c>
      <c r="G255" s="14">
        <v>1.1835500000000001</v>
      </c>
      <c r="H255" s="14">
        <v>1.3043</v>
      </c>
      <c r="I255" s="14">
        <v>4.786E-2</v>
      </c>
      <c r="J255" s="14">
        <v>0.107955</v>
      </c>
      <c r="K255" s="14">
        <v>0.277505</v>
      </c>
      <c r="L255" s="14">
        <v>2.3435000000000001E-2</v>
      </c>
    </row>
    <row r="256" spans="1:12" x14ac:dyDescent="0.3">
      <c r="A256" s="61">
        <v>44130</v>
      </c>
      <c r="B256" s="14">
        <v>1.2775E-2</v>
      </c>
      <c r="C256" s="14">
        <v>0.71205000000000007</v>
      </c>
      <c r="D256" s="14">
        <v>0.17818999999999999</v>
      </c>
      <c r="E256" s="14">
        <v>0.75673999999999997</v>
      </c>
      <c r="F256" s="14">
        <v>1.2800000000000001E-3</v>
      </c>
      <c r="G256" s="14">
        <v>1.1817500000000001</v>
      </c>
      <c r="H256" s="14">
        <v>1.3023</v>
      </c>
      <c r="I256" s="14">
        <v>4.7704999999999997E-2</v>
      </c>
      <c r="J256" s="14">
        <v>0.10811999999999999</v>
      </c>
      <c r="K256" s="14">
        <v>0.277505</v>
      </c>
      <c r="L256" s="14">
        <v>2.3435000000000001E-2</v>
      </c>
    </row>
    <row r="257" spans="1:12" x14ac:dyDescent="0.3">
      <c r="A257" s="61">
        <v>44131</v>
      </c>
      <c r="B257" s="14">
        <v>1.277E-2</v>
      </c>
      <c r="C257" s="14">
        <v>0.71415000000000006</v>
      </c>
      <c r="D257" s="14">
        <v>0.17754</v>
      </c>
      <c r="E257" s="14">
        <v>0.75998500000000002</v>
      </c>
      <c r="F257" s="14">
        <v>1.2999999999999999E-3</v>
      </c>
      <c r="G257" s="14">
        <v>1.1833</v>
      </c>
      <c r="H257" s="14">
        <v>1.3064499999999999</v>
      </c>
      <c r="I257" s="14">
        <v>4.7905000000000003E-2</v>
      </c>
      <c r="J257" s="14">
        <v>0.109485</v>
      </c>
      <c r="K257" s="14">
        <v>0.277505</v>
      </c>
      <c r="L257" s="14">
        <v>2.3439999999999999E-2</v>
      </c>
    </row>
    <row r="258" spans="1:12" x14ac:dyDescent="0.3">
      <c r="A258" s="61">
        <v>44132</v>
      </c>
      <c r="B258" s="14">
        <v>1.2760000000000001E-2</v>
      </c>
      <c r="C258" s="14">
        <v>0.70665</v>
      </c>
      <c r="D258" s="14">
        <v>0.17702499999999999</v>
      </c>
      <c r="E258" s="14">
        <v>0.75071500000000002</v>
      </c>
      <c r="F258" s="14">
        <v>1.2899999999999999E-3</v>
      </c>
      <c r="G258" s="14">
        <v>1.1751499999999999</v>
      </c>
      <c r="H258" s="14">
        <v>1.2996000000000001</v>
      </c>
      <c r="I258" s="14">
        <v>4.7255000000000012E-2</v>
      </c>
      <c r="J258" s="14">
        <v>0.107</v>
      </c>
      <c r="K258" s="14">
        <v>0.27727000000000002</v>
      </c>
      <c r="L258" s="14">
        <v>2.3439999999999999E-2</v>
      </c>
    </row>
    <row r="259" spans="1:12" x14ac:dyDescent="0.3">
      <c r="A259" s="61">
        <v>44133</v>
      </c>
      <c r="B259" s="14">
        <v>1.2760000000000001E-2</v>
      </c>
      <c r="C259" s="14">
        <v>0.70050000000000001</v>
      </c>
      <c r="D259" s="14">
        <v>0.17444999999999999</v>
      </c>
      <c r="E259" s="14">
        <v>0.74815999999999994</v>
      </c>
      <c r="F259" s="14">
        <v>1.2899999999999999E-3</v>
      </c>
      <c r="G259" s="14">
        <v>1.1657500000000001</v>
      </c>
      <c r="H259" s="14">
        <v>1.2889999999999999</v>
      </c>
      <c r="I259" s="14">
        <v>4.6760000000000003E-2</v>
      </c>
      <c r="J259" s="14">
        <v>0.10430499999999999</v>
      </c>
      <c r="K259" s="14">
        <v>0.27681</v>
      </c>
      <c r="L259" s="14">
        <v>2.3304999999999999E-2</v>
      </c>
    </row>
    <row r="260" spans="1:12" x14ac:dyDescent="0.3">
      <c r="A260" s="61">
        <v>44134</v>
      </c>
      <c r="B260" s="14">
        <v>1.2760000000000001E-2</v>
      </c>
      <c r="C260" s="14">
        <v>0.70225000000000004</v>
      </c>
      <c r="D260" s="14">
        <v>0.17300499999999999</v>
      </c>
      <c r="E260" s="14">
        <v>0.74998500000000001</v>
      </c>
      <c r="F260" s="14">
        <v>1.2899999999999999E-3</v>
      </c>
      <c r="G260" s="14">
        <v>1.1648499999999999</v>
      </c>
      <c r="H260" s="14">
        <v>1.2929999999999999</v>
      </c>
      <c r="I260" s="14">
        <v>4.6995000000000002E-2</v>
      </c>
      <c r="J260" s="14">
        <v>0.10460999999999999</v>
      </c>
      <c r="K260" s="14">
        <v>0.27688499999999999</v>
      </c>
      <c r="L260" s="14">
        <v>2.3265000000000001E-2</v>
      </c>
    </row>
    <row r="261" spans="1:12" x14ac:dyDescent="0.3">
      <c r="A261" s="61">
        <v>44135</v>
      </c>
      <c r="B261" s="14">
        <v>1.2760000000000001E-2</v>
      </c>
      <c r="C261" s="14">
        <v>0.70225000000000004</v>
      </c>
      <c r="D261" s="14">
        <v>0.17300499999999999</v>
      </c>
      <c r="E261" s="14">
        <v>0.74998500000000001</v>
      </c>
      <c r="F261" s="14">
        <v>1.2899999999999999E-3</v>
      </c>
      <c r="G261" s="14">
        <v>1.1648499999999999</v>
      </c>
      <c r="H261" s="14">
        <v>1.2929999999999999</v>
      </c>
      <c r="I261" s="14">
        <v>4.6995000000000002E-2</v>
      </c>
      <c r="J261" s="14">
        <v>0.10460999999999999</v>
      </c>
      <c r="K261" s="14">
        <v>0.27688499999999999</v>
      </c>
      <c r="L261" s="14">
        <v>2.3265000000000001E-2</v>
      </c>
    </row>
    <row r="262" spans="1:12" x14ac:dyDescent="0.3">
      <c r="A262" s="61">
        <v>44136</v>
      </c>
      <c r="B262" s="14">
        <v>1.2760000000000001E-2</v>
      </c>
      <c r="C262" s="14">
        <v>0.70225000000000004</v>
      </c>
      <c r="D262" s="14">
        <v>0.17300499999999999</v>
      </c>
      <c r="E262" s="14">
        <v>0.74998500000000001</v>
      </c>
      <c r="F262" s="14">
        <v>1.2899999999999999E-3</v>
      </c>
      <c r="G262" s="14">
        <v>1.1648499999999999</v>
      </c>
      <c r="H262" s="14">
        <v>1.2929999999999999</v>
      </c>
      <c r="I262" s="14">
        <v>4.6995000000000002E-2</v>
      </c>
      <c r="J262" s="14">
        <v>0.10460999999999999</v>
      </c>
      <c r="K262" s="14">
        <v>0.27688499999999999</v>
      </c>
      <c r="L262" s="14">
        <v>2.3265000000000001E-2</v>
      </c>
    </row>
    <row r="263" spans="1:12" x14ac:dyDescent="0.3">
      <c r="A263" s="61">
        <v>44137</v>
      </c>
      <c r="B263" s="14">
        <v>1.2699999999999999E-2</v>
      </c>
      <c r="C263" s="14">
        <v>0.70405000000000006</v>
      </c>
      <c r="D263" s="14">
        <v>0.17300499999999999</v>
      </c>
      <c r="E263" s="14">
        <v>0.75323499999999999</v>
      </c>
      <c r="F263" s="14">
        <v>1.2999999999999999E-3</v>
      </c>
      <c r="G263" s="14">
        <v>1.1636500000000001</v>
      </c>
      <c r="H263" s="14">
        <v>1.2909999999999999</v>
      </c>
      <c r="I263" s="14">
        <v>4.6684999999999997E-2</v>
      </c>
      <c r="J263" s="14">
        <v>0.104395</v>
      </c>
      <c r="K263" s="14">
        <v>0.27688499999999999</v>
      </c>
      <c r="L263" s="14">
        <v>2.3234999999999999E-2</v>
      </c>
    </row>
    <row r="264" spans="1:12" x14ac:dyDescent="0.3">
      <c r="A264" s="61">
        <v>44138</v>
      </c>
      <c r="B264" s="14">
        <v>1.2670000000000001E-2</v>
      </c>
      <c r="C264" s="14">
        <v>0.71679999999999999</v>
      </c>
      <c r="D264" s="14">
        <v>0.17326</v>
      </c>
      <c r="E264" s="14">
        <v>0.76294499999999998</v>
      </c>
      <c r="F264" s="14">
        <v>1.32E-3</v>
      </c>
      <c r="G264" s="14">
        <v>1.1730499999999999</v>
      </c>
      <c r="H264" s="14">
        <v>1.3069999999999999</v>
      </c>
      <c r="I264" s="14">
        <v>4.7315000000000003E-2</v>
      </c>
      <c r="J264" s="14">
        <v>0.106905</v>
      </c>
      <c r="K264" s="14">
        <v>0.27681</v>
      </c>
      <c r="L264" s="14">
        <v>2.3375E-2</v>
      </c>
    </row>
    <row r="265" spans="1:12" x14ac:dyDescent="0.3">
      <c r="A265" s="61">
        <v>44139</v>
      </c>
      <c r="B265" s="14">
        <v>1.265E-2</v>
      </c>
      <c r="C265" s="14">
        <v>0.71584999999999999</v>
      </c>
      <c r="D265" s="14">
        <v>0.17577000000000001</v>
      </c>
      <c r="E265" s="14">
        <v>0.76134999999999997</v>
      </c>
      <c r="F265" s="14">
        <v>1.315E-3</v>
      </c>
      <c r="G265" s="14">
        <v>1.1708499999999999</v>
      </c>
      <c r="H265" s="14">
        <v>1.2988999999999999</v>
      </c>
      <c r="I265" s="14">
        <v>4.7395E-2</v>
      </c>
      <c r="J265" s="14">
        <v>0.10725999999999999</v>
      </c>
      <c r="K265" s="14">
        <v>0.27739000000000003</v>
      </c>
      <c r="L265" s="14">
        <v>2.3304999999999999E-2</v>
      </c>
    </row>
    <row r="266" spans="1:12" x14ac:dyDescent="0.3">
      <c r="A266" s="61">
        <v>44140</v>
      </c>
      <c r="B266" s="14">
        <v>1.264E-2</v>
      </c>
      <c r="C266" s="14">
        <v>0.72724999999999995</v>
      </c>
      <c r="D266" s="14">
        <v>0.17565</v>
      </c>
      <c r="E266" s="14">
        <v>0.76736499999999996</v>
      </c>
      <c r="F266" s="14">
        <v>1.32E-3</v>
      </c>
      <c r="G266" s="14">
        <v>1.18265</v>
      </c>
      <c r="H266" s="14">
        <v>1.3110999999999999</v>
      </c>
      <c r="I266" s="14">
        <v>4.8230000000000002E-2</v>
      </c>
      <c r="J266" s="14">
        <v>0.10924</v>
      </c>
      <c r="K266" s="14">
        <v>0.27792499999999998</v>
      </c>
      <c r="L266" s="14">
        <v>2.3314999999999999E-2</v>
      </c>
    </row>
    <row r="267" spans="1:12" x14ac:dyDescent="0.3">
      <c r="A267" s="61">
        <v>44141</v>
      </c>
      <c r="B267" s="14">
        <v>1.265E-2</v>
      </c>
      <c r="C267" s="14">
        <v>0.72704999999999997</v>
      </c>
      <c r="D267" s="14">
        <v>0.17978</v>
      </c>
      <c r="E267" s="14">
        <v>0.767455</v>
      </c>
      <c r="F267" s="14">
        <v>1.32E-3</v>
      </c>
      <c r="G267" s="14">
        <v>1.1874499999999999</v>
      </c>
      <c r="H267" s="14">
        <v>1.3144499999999999</v>
      </c>
      <c r="I267" s="14">
        <v>4.8589999999999987E-2</v>
      </c>
      <c r="J267" s="14">
        <v>0.10894</v>
      </c>
      <c r="K267" s="14">
        <v>0.27843000000000001</v>
      </c>
      <c r="L267" s="14">
        <v>2.3375E-2</v>
      </c>
    </row>
    <row r="268" spans="1:12" x14ac:dyDescent="0.3">
      <c r="A268" s="61">
        <v>44142</v>
      </c>
      <c r="B268" s="14">
        <v>1.265E-2</v>
      </c>
      <c r="C268" s="14">
        <v>0.72704999999999997</v>
      </c>
      <c r="D268" s="14">
        <v>0.17978</v>
      </c>
      <c r="E268" s="14">
        <v>0.767455</v>
      </c>
      <c r="F268" s="14">
        <v>1.32E-3</v>
      </c>
      <c r="G268" s="14">
        <v>1.1874499999999999</v>
      </c>
      <c r="H268" s="14">
        <v>1.3144499999999999</v>
      </c>
      <c r="I268" s="14">
        <v>4.8589999999999987E-2</v>
      </c>
      <c r="J268" s="14">
        <v>0.10894</v>
      </c>
      <c r="K268" s="14">
        <v>0.27843000000000001</v>
      </c>
      <c r="L268" s="14">
        <v>2.3375E-2</v>
      </c>
    </row>
    <row r="269" spans="1:12" x14ac:dyDescent="0.3">
      <c r="A269" s="61">
        <v>44143</v>
      </c>
      <c r="B269" s="14">
        <v>1.265E-2</v>
      </c>
      <c r="C269" s="14">
        <v>0.72704999999999997</v>
      </c>
      <c r="D269" s="14">
        <v>0.17978</v>
      </c>
      <c r="E269" s="14">
        <v>0.767455</v>
      </c>
      <c r="F269" s="14">
        <v>1.32E-3</v>
      </c>
      <c r="G269" s="14">
        <v>1.1874499999999999</v>
      </c>
      <c r="H269" s="14">
        <v>1.3144499999999999</v>
      </c>
      <c r="I269" s="14">
        <v>4.8589999999999987E-2</v>
      </c>
      <c r="J269" s="14">
        <v>0.10894</v>
      </c>
      <c r="K269" s="14">
        <v>0.27843000000000001</v>
      </c>
      <c r="L269" s="14">
        <v>2.3375E-2</v>
      </c>
    </row>
    <row r="270" spans="1:12" x14ac:dyDescent="0.3">
      <c r="A270" s="61">
        <v>44144</v>
      </c>
      <c r="B270" s="14">
        <v>1.26E-2</v>
      </c>
      <c r="C270" s="14">
        <v>0.72924999999999995</v>
      </c>
      <c r="D270" s="14">
        <v>0.18079000000000001</v>
      </c>
      <c r="E270" s="14">
        <v>0.77100499999999994</v>
      </c>
      <c r="F270" s="14">
        <v>1.32E-3</v>
      </c>
      <c r="G270" s="14">
        <v>1.1823999999999999</v>
      </c>
      <c r="H270" s="14">
        <v>1.3148</v>
      </c>
      <c r="I270" s="14">
        <v>4.9230000000000003E-2</v>
      </c>
      <c r="J270" s="14">
        <v>0.1108</v>
      </c>
      <c r="K270" s="14">
        <v>0.27789000000000003</v>
      </c>
      <c r="L270" s="14">
        <v>2.3385E-2</v>
      </c>
    </row>
    <row r="271" spans="1:12" x14ac:dyDescent="0.3">
      <c r="A271" s="61">
        <v>44145</v>
      </c>
      <c r="B271" s="14">
        <v>1.2585000000000001E-2</v>
      </c>
      <c r="C271" s="14">
        <v>0.72724999999999995</v>
      </c>
      <c r="D271" s="14">
        <v>0.18932499999999999</v>
      </c>
      <c r="E271" s="14">
        <v>0.76837</v>
      </c>
      <c r="F271" s="14">
        <v>1.31E-3</v>
      </c>
      <c r="G271" s="14">
        <v>1.18205</v>
      </c>
      <c r="H271" s="14">
        <v>1.3248</v>
      </c>
      <c r="I271" s="14">
        <v>4.8959999999999997E-2</v>
      </c>
      <c r="J271" s="14">
        <v>0.11073</v>
      </c>
      <c r="K271" s="14">
        <v>0.27877999999999997</v>
      </c>
      <c r="L271" s="14">
        <v>2.3445000000000001E-2</v>
      </c>
    </row>
    <row r="272" spans="1:12" x14ac:dyDescent="0.3">
      <c r="A272" s="61">
        <v>44146</v>
      </c>
      <c r="B272" s="14">
        <v>1.2579999999999999E-2</v>
      </c>
      <c r="C272" s="14">
        <v>0.72635000000000005</v>
      </c>
      <c r="D272" s="14">
        <v>0.18623999999999999</v>
      </c>
      <c r="E272" s="14">
        <v>0.76510499999999992</v>
      </c>
      <c r="F272" s="14">
        <v>1.315E-3</v>
      </c>
      <c r="G272" s="14">
        <v>1.1758</v>
      </c>
      <c r="H272" s="14">
        <v>1.31965</v>
      </c>
      <c r="I272" s="14">
        <v>4.8605000000000002E-2</v>
      </c>
      <c r="J272" s="14">
        <v>0.11006000000000001</v>
      </c>
      <c r="K272" s="14">
        <v>0.27611999999999998</v>
      </c>
      <c r="L272" s="14">
        <v>2.3404999999999999E-2</v>
      </c>
    </row>
    <row r="273" spans="1:12" x14ac:dyDescent="0.3">
      <c r="A273" s="61">
        <v>44147</v>
      </c>
      <c r="B273" s="14">
        <v>1.256E-2</v>
      </c>
      <c r="C273" s="14">
        <v>0.72629999999999995</v>
      </c>
      <c r="D273" s="14">
        <v>0.18512000000000001</v>
      </c>
      <c r="E273" s="14">
        <v>0.76233499999999998</v>
      </c>
      <c r="F273" s="14">
        <v>1.32E-3</v>
      </c>
      <c r="G273" s="14">
        <v>1.1810499999999999</v>
      </c>
      <c r="H273" s="14">
        <v>1.3130999999999999</v>
      </c>
      <c r="I273" s="14">
        <v>4.8759999999999998E-2</v>
      </c>
      <c r="J273" s="14">
        <v>0.10985499999999999</v>
      </c>
      <c r="K273" s="14">
        <v>0.27600999999999998</v>
      </c>
      <c r="L273" s="14">
        <v>2.3324999999999999E-2</v>
      </c>
    </row>
    <row r="274" spans="1:12" x14ac:dyDescent="0.3">
      <c r="A274" s="61">
        <v>44148</v>
      </c>
      <c r="B274" s="14">
        <v>1.2540000000000001E-2</v>
      </c>
      <c r="C274" s="14">
        <v>0.72465000000000002</v>
      </c>
      <c r="D274" s="14">
        <v>0.18487000000000001</v>
      </c>
      <c r="E274" s="14">
        <v>0.75967000000000007</v>
      </c>
      <c r="F274" s="14">
        <v>1.2999999999999999E-3</v>
      </c>
      <c r="G274" s="14">
        <v>1.1819999999999999</v>
      </c>
      <c r="H274" s="14">
        <v>1.3161</v>
      </c>
      <c r="I274" s="14">
        <v>4.87E-2</v>
      </c>
      <c r="J274" s="14">
        <v>0.109125</v>
      </c>
      <c r="K274" s="14">
        <v>0.27524999999999999</v>
      </c>
      <c r="L274" s="14">
        <v>2.3324999999999999E-2</v>
      </c>
    </row>
    <row r="275" spans="1:12" x14ac:dyDescent="0.3">
      <c r="A275" s="61">
        <v>44149</v>
      </c>
      <c r="B275" s="14">
        <v>1.2540000000000001E-2</v>
      </c>
      <c r="C275" s="14">
        <v>0.72465000000000002</v>
      </c>
      <c r="D275" s="14">
        <v>0.18487000000000001</v>
      </c>
      <c r="E275" s="14">
        <v>0.75967000000000007</v>
      </c>
      <c r="F275" s="14">
        <v>1.2999999999999999E-3</v>
      </c>
      <c r="G275" s="14">
        <v>1.1819999999999999</v>
      </c>
      <c r="H275" s="14">
        <v>1.3161</v>
      </c>
      <c r="I275" s="14">
        <v>4.87E-2</v>
      </c>
      <c r="J275" s="14">
        <v>0.109125</v>
      </c>
      <c r="K275" s="14">
        <v>0.27524999999999999</v>
      </c>
      <c r="L275" s="14">
        <v>2.3324999999999999E-2</v>
      </c>
    </row>
    <row r="276" spans="1:12" x14ac:dyDescent="0.3">
      <c r="A276" s="61">
        <v>44150</v>
      </c>
      <c r="B276" s="14">
        <v>1.2540000000000001E-2</v>
      </c>
      <c r="C276" s="14">
        <v>0.72465000000000002</v>
      </c>
      <c r="D276" s="14">
        <v>0.18487000000000001</v>
      </c>
      <c r="E276" s="14">
        <v>0.75967000000000007</v>
      </c>
      <c r="F276" s="14">
        <v>1.2999999999999999E-3</v>
      </c>
      <c r="G276" s="14">
        <v>1.1819999999999999</v>
      </c>
      <c r="H276" s="14">
        <v>1.3161</v>
      </c>
      <c r="I276" s="14">
        <v>4.87E-2</v>
      </c>
      <c r="J276" s="14">
        <v>0.109125</v>
      </c>
      <c r="K276" s="14">
        <v>0.27524999999999999</v>
      </c>
      <c r="L276" s="14">
        <v>2.3324999999999999E-2</v>
      </c>
    </row>
    <row r="277" spans="1:12" x14ac:dyDescent="0.3">
      <c r="A277" s="61">
        <v>44151</v>
      </c>
      <c r="B277" s="14">
        <v>1.2500000000000001E-2</v>
      </c>
      <c r="C277" s="14">
        <v>0.73214999999999997</v>
      </c>
      <c r="D277" s="14">
        <v>0.18487000000000001</v>
      </c>
      <c r="E277" s="14">
        <v>0.76499000000000006</v>
      </c>
      <c r="F277" s="14">
        <v>1.2999999999999999E-3</v>
      </c>
      <c r="G277" s="14">
        <v>1.1836500000000001</v>
      </c>
      <c r="H277" s="14">
        <v>1.3177000000000001</v>
      </c>
      <c r="I277" s="14">
        <v>4.9329999999999999E-2</v>
      </c>
      <c r="J277" s="14">
        <v>0.11042</v>
      </c>
      <c r="K277" s="14">
        <v>0.27524999999999999</v>
      </c>
      <c r="L277" s="14">
        <v>2.3285E-2</v>
      </c>
    </row>
    <row r="278" spans="1:12" x14ac:dyDescent="0.3">
      <c r="A278" s="61">
        <v>44152</v>
      </c>
      <c r="B278" s="14">
        <v>1.2489999999999999E-2</v>
      </c>
      <c r="C278" s="14">
        <v>0.73004999999999998</v>
      </c>
      <c r="D278" s="14">
        <v>0.18231</v>
      </c>
      <c r="E278" s="14">
        <v>0.76361500000000004</v>
      </c>
      <c r="F278" s="14">
        <v>1.2999999999999999E-3</v>
      </c>
      <c r="G278" s="14">
        <v>1.1875500000000001</v>
      </c>
      <c r="H278" s="14">
        <v>1.3259000000000001</v>
      </c>
      <c r="I278" s="14">
        <v>4.9185E-2</v>
      </c>
      <c r="J278" s="14">
        <v>0.11029</v>
      </c>
      <c r="K278" s="14">
        <v>0.27449499999999999</v>
      </c>
      <c r="L278" s="14">
        <v>2.3335000000000002E-2</v>
      </c>
    </row>
    <row r="279" spans="1:12" x14ac:dyDescent="0.3">
      <c r="A279" s="61">
        <v>44153</v>
      </c>
      <c r="B279" s="14">
        <v>1.247E-2</v>
      </c>
      <c r="C279" s="14">
        <v>0.73255000000000003</v>
      </c>
      <c r="D279" s="14">
        <v>0.18529999999999999</v>
      </c>
      <c r="E279" s="14">
        <v>0.76534000000000002</v>
      </c>
      <c r="F279" s="14">
        <v>1.315E-3</v>
      </c>
      <c r="G279" s="14">
        <v>1.1876</v>
      </c>
      <c r="H279" s="14">
        <v>1.3303</v>
      </c>
      <c r="I279" s="14">
        <v>4.9465000000000002E-2</v>
      </c>
      <c r="J279" s="14">
        <v>0.11107</v>
      </c>
      <c r="K279" s="14">
        <v>0.27551500000000001</v>
      </c>
      <c r="L279" s="14">
        <v>2.342E-2</v>
      </c>
    </row>
    <row r="280" spans="1:12" x14ac:dyDescent="0.3">
      <c r="A280" s="61">
        <v>44154</v>
      </c>
      <c r="B280" s="14">
        <v>1.2449999999999999E-2</v>
      </c>
      <c r="C280" s="14">
        <v>0.72704999999999997</v>
      </c>
      <c r="D280" s="14">
        <v>0.18892999999999999</v>
      </c>
      <c r="E280" s="14">
        <v>0.76411499999999999</v>
      </c>
      <c r="F280" s="14">
        <v>1.31E-3</v>
      </c>
      <c r="G280" s="14">
        <v>1.1839999999999999</v>
      </c>
      <c r="H280" s="14">
        <v>1.3223</v>
      </c>
      <c r="I280" s="14">
        <v>4.9529999999999998E-2</v>
      </c>
      <c r="J280" s="14">
        <v>0.11064499999999999</v>
      </c>
      <c r="K280" s="14">
        <v>0.27936499999999997</v>
      </c>
      <c r="L280" s="14">
        <v>2.3425000000000001E-2</v>
      </c>
    </row>
    <row r="281" spans="1:12" x14ac:dyDescent="0.3">
      <c r="A281" s="61">
        <v>44155</v>
      </c>
      <c r="B281" s="14">
        <v>1.244E-2</v>
      </c>
      <c r="C281" s="14">
        <v>0.73104999999999998</v>
      </c>
      <c r="D281" s="14">
        <v>0.18751999999999999</v>
      </c>
      <c r="E281" s="14">
        <v>0.76530999999999993</v>
      </c>
      <c r="F281" s="14">
        <v>1.31E-3</v>
      </c>
      <c r="G281" s="14">
        <v>1.1854</v>
      </c>
      <c r="H281" s="14">
        <v>1.3287</v>
      </c>
      <c r="I281" s="14">
        <v>4.9699999999999987E-2</v>
      </c>
      <c r="J281" s="14">
        <v>0.11107</v>
      </c>
      <c r="K281" s="14">
        <v>0.27979500000000002</v>
      </c>
      <c r="L281" s="14">
        <v>2.3359999999999999E-2</v>
      </c>
    </row>
    <row r="282" spans="1:12" x14ac:dyDescent="0.3">
      <c r="A282" s="61">
        <v>44156</v>
      </c>
      <c r="B282" s="14">
        <v>1.244E-2</v>
      </c>
      <c r="C282" s="14">
        <v>0.73104999999999998</v>
      </c>
      <c r="D282" s="14">
        <v>0.18751999999999999</v>
      </c>
      <c r="E282" s="14">
        <v>0.76530999999999993</v>
      </c>
      <c r="F282" s="14">
        <v>1.31E-3</v>
      </c>
      <c r="G282" s="14">
        <v>1.1854</v>
      </c>
      <c r="H282" s="14">
        <v>1.3287</v>
      </c>
      <c r="I282" s="14">
        <v>4.9699999999999987E-2</v>
      </c>
      <c r="J282" s="14">
        <v>0.11107</v>
      </c>
      <c r="K282" s="14">
        <v>0.27979500000000002</v>
      </c>
      <c r="L282" s="14">
        <v>2.3359999999999999E-2</v>
      </c>
    </row>
    <row r="283" spans="1:12" x14ac:dyDescent="0.3">
      <c r="A283" s="61">
        <v>44157</v>
      </c>
      <c r="B283" s="14">
        <v>1.244E-2</v>
      </c>
      <c r="C283" s="14">
        <v>0.73104999999999998</v>
      </c>
      <c r="D283" s="14">
        <v>0.18751999999999999</v>
      </c>
      <c r="E283" s="14">
        <v>0.76530999999999993</v>
      </c>
      <c r="F283" s="14">
        <v>1.31E-3</v>
      </c>
      <c r="G283" s="14">
        <v>1.1854</v>
      </c>
      <c r="H283" s="14">
        <v>1.3287</v>
      </c>
      <c r="I283" s="14">
        <v>4.9699999999999987E-2</v>
      </c>
      <c r="J283" s="14">
        <v>0.11107</v>
      </c>
      <c r="K283" s="14">
        <v>0.27979500000000002</v>
      </c>
      <c r="L283" s="14">
        <v>2.3359999999999999E-2</v>
      </c>
    </row>
    <row r="284" spans="1:12" x14ac:dyDescent="0.3">
      <c r="A284" s="61">
        <v>44158</v>
      </c>
      <c r="B284" s="14">
        <v>1.2449999999999999E-2</v>
      </c>
      <c r="C284" s="14">
        <v>0.72814999999999996</v>
      </c>
      <c r="D284" s="14">
        <v>0.18690000000000001</v>
      </c>
      <c r="E284" s="14">
        <v>0.76388</v>
      </c>
      <c r="F284" s="14">
        <v>1.2999999999999999E-3</v>
      </c>
      <c r="G284" s="14">
        <v>1.1818500000000001</v>
      </c>
      <c r="H284" s="14">
        <v>1.3294999999999999</v>
      </c>
      <c r="I284" s="14">
        <v>4.9750000000000003E-2</v>
      </c>
      <c r="J284" s="14">
        <v>0.11047999999999999</v>
      </c>
      <c r="K284" s="14">
        <v>0.27897499999999997</v>
      </c>
      <c r="L284" s="14">
        <v>2.3385E-2</v>
      </c>
    </row>
    <row r="285" spans="1:12" x14ac:dyDescent="0.3">
      <c r="A285" s="61">
        <v>44159</v>
      </c>
      <c r="B285" s="14">
        <v>1.239E-2</v>
      </c>
      <c r="C285" s="14">
        <v>0.73425000000000007</v>
      </c>
      <c r="D285" s="14">
        <v>0.18578</v>
      </c>
      <c r="E285" s="14">
        <v>0.76722000000000001</v>
      </c>
      <c r="F285" s="14">
        <v>1.2899999999999999E-3</v>
      </c>
      <c r="G285" s="14">
        <v>1.1872499999999999</v>
      </c>
      <c r="H285" s="14">
        <v>1.3357000000000001</v>
      </c>
      <c r="I285" s="14">
        <v>4.9845E-2</v>
      </c>
      <c r="J285" s="14">
        <v>0.11183999999999999</v>
      </c>
      <c r="K285" s="14">
        <v>0.27792499999999998</v>
      </c>
      <c r="L285" s="14">
        <v>2.3449999999999999E-2</v>
      </c>
    </row>
    <row r="286" spans="1:12" x14ac:dyDescent="0.3">
      <c r="A286" s="61">
        <v>44160</v>
      </c>
      <c r="B286" s="14">
        <v>1.2370000000000001E-2</v>
      </c>
      <c r="C286" s="14">
        <v>0.73504999999999998</v>
      </c>
      <c r="D286" s="14">
        <v>0.18506</v>
      </c>
      <c r="E286" s="14">
        <v>0.76849000000000001</v>
      </c>
      <c r="F286" s="14">
        <v>1.2899999999999999E-3</v>
      </c>
      <c r="G286" s="14">
        <v>1.1900500000000001</v>
      </c>
      <c r="H286" s="14">
        <v>1.3381000000000001</v>
      </c>
      <c r="I286" s="14">
        <v>4.9820000000000003E-2</v>
      </c>
      <c r="J286" s="14">
        <v>0.11289</v>
      </c>
      <c r="K286" s="14">
        <v>0.27727000000000002</v>
      </c>
      <c r="L286" s="14">
        <v>2.3449999999999999E-2</v>
      </c>
    </row>
    <row r="287" spans="1:12" x14ac:dyDescent="0.3">
      <c r="A287" s="61">
        <v>44161</v>
      </c>
      <c r="B287" s="14">
        <v>1.2359999999999999E-2</v>
      </c>
      <c r="C287" s="14">
        <v>0.73614999999999997</v>
      </c>
      <c r="D287" s="14">
        <v>0.18689</v>
      </c>
      <c r="E287" s="14">
        <v>0.76815999999999995</v>
      </c>
      <c r="F287" s="14">
        <v>1.2999999999999999E-3</v>
      </c>
      <c r="G287" s="14">
        <v>1.1901999999999999</v>
      </c>
      <c r="H287" s="14">
        <v>1.3329500000000001</v>
      </c>
      <c r="I287" s="14">
        <v>4.9910000000000003E-2</v>
      </c>
      <c r="J287" s="14">
        <v>0.112645</v>
      </c>
      <c r="K287" s="14">
        <v>0.27711999999999998</v>
      </c>
      <c r="L287" s="14">
        <v>2.3445000000000001E-2</v>
      </c>
    </row>
    <row r="288" spans="1:12" x14ac:dyDescent="0.3">
      <c r="A288" s="61">
        <v>44162</v>
      </c>
      <c r="B288" s="14">
        <v>1.2335E-2</v>
      </c>
      <c r="C288" s="14">
        <v>0.73980000000000001</v>
      </c>
      <c r="D288" s="14">
        <v>0.18797</v>
      </c>
      <c r="E288" s="14">
        <v>0.77068000000000003</v>
      </c>
      <c r="F288" s="14">
        <v>1.2999999999999999E-3</v>
      </c>
      <c r="G288" s="14">
        <v>1.19485</v>
      </c>
      <c r="H288" s="14">
        <v>1.3345</v>
      </c>
      <c r="I288" s="14">
        <v>4.9790000000000001E-2</v>
      </c>
      <c r="J288" s="14">
        <v>0.11330999999999999</v>
      </c>
      <c r="K288" s="14">
        <v>0.27746500000000002</v>
      </c>
      <c r="L288" s="14">
        <v>2.3455E-2</v>
      </c>
    </row>
    <row r="289" spans="1:12" x14ac:dyDescent="0.3">
      <c r="A289" s="61">
        <v>44163</v>
      </c>
      <c r="B289" s="14">
        <v>1.2335E-2</v>
      </c>
      <c r="C289" s="14">
        <v>0.73980000000000001</v>
      </c>
      <c r="D289" s="14">
        <v>0.18797</v>
      </c>
      <c r="E289" s="14">
        <v>0.77068000000000003</v>
      </c>
      <c r="F289" s="14">
        <v>1.2999999999999999E-3</v>
      </c>
      <c r="G289" s="14">
        <v>1.19485</v>
      </c>
      <c r="H289" s="14">
        <v>1.3345</v>
      </c>
      <c r="I289" s="14">
        <v>4.9790000000000001E-2</v>
      </c>
      <c r="J289" s="14">
        <v>0.11330999999999999</v>
      </c>
      <c r="K289" s="14">
        <v>0.27746500000000002</v>
      </c>
      <c r="L289" s="14">
        <v>2.3455E-2</v>
      </c>
    </row>
    <row r="290" spans="1:12" x14ac:dyDescent="0.3">
      <c r="A290" s="61">
        <v>44164</v>
      </c>
      <c r="B290" s="14">
        <v>1.2335E-2</v>
      </c>
      <c r="C290" s="14">
        <v>0.73980000000000001</v>
      </c>
      <c r="D290" s="14">
        <v>0.18797</v>
      </c>
      <c r="E290" s="14">
        <v>0.77068000000000003</v>
      </c>
      <c r="F290" s="14">
        <v>1.2999999999999999E-3</v>
      </c>
      <c r="G290" s="14">
        <v>1.19485</v>
      </c>
      <c r="H290" s="14">
        <v>1.3345</v>
      </c>
      <c r="I290" s="14">
        <v>4.9790000000000001E-2</v>
      </c>
      <c r="J290" s="14">
        <v>0.11330999999999999</v>
      </c>
      <c r="K290" s="14">
        <v>0.27746500000000002</v>
      </c>
      <c r="L290" s="14">
        <v>2.3455E-2</v>
      </c>
    </row>
    <row r="291" spans="1:12" x14ac:dyDescent="0.3">
      <c r="A291" s="61">
        <v>44165</v>
      </c>
      <c r="B291" s="14">
        <v>1.23E-2</v>
      </c>
      <c r="C291" s="14">
        <v>0.73685</v>
      </c>
      <c r="D291" s="14">
        <v>0.18694</v>
      </c>
      <c r="E291" s="14">
        <v>0.77166000000000001</v>
      </c>
      <c r="F291" s="14">
        <v>1.2999999999999999E-3</v>
      </c>
      <c r="G291" s="14">
        <v>1.1961999999999999</v>
      </c>
      <c r="H291" s="14">
        <v>1.3350500000000001</v>
      </c>
      <c r="I291" s="14">
        <v>4.9605000000000003E-2</v>
      </c>
      <c r="J291" s="14">
        <v>0.11290500000000001</v>
      </c>
      <c r="K291" s="14">
        <v>0.27739000000000003</v>
      </c>
      <c r="L291" s="14">
        <v>2.3455E-2</v>
      </c>
    </row>
    <row r="292" spans="1:12" x14ac:dyDescent="0.3">
      <c r="A292" s="61">
        <v>44166</v>
      </c>
      <c r="B292" s="14">
        <v>1.2279999999999999E-2</v>
      </c>
      <c r="C292" s="14">
        <v>0.73555000000000004</v>
      </c>
      <c r="D292" s="14">
        <v>0.18756</v>
      </c>
      <c r="E292" s="14">
        <v>0.77144999999999997</v>
      </c>
      <c r="F292" s="14">
        <v>1.31E-3</v>
      </c>
      <c r="G292" s="14">
        <v>1.2032499999999999</v>
      </c>
      <c r="H292" s="14">
        <v>1.3363</v>
      </c>
      <c r="I292" s="14">
        <v>4.9834999999999997E-2</v>
      </c>
      <c r="J292" s="14">
        <v>0.113175</v>
      </c>
      <c r="K292" s="14">
        <v>0.27727000000000002</v>
      </c>
      <c r="L292" s="14">
        <v>2.3455E-2</v>
      </c>
    </row>
    <row r="293" spans="1:12" x14ac:dyDescent="0.3">
      <c r="A293" s="61">
        <v>44167</v>
      </c>
      <c r="B293" s="14">
        <v>1.227E-2</v>
      </c>
      <c r="C293" s="14">
        <v>0.73814999999999997</v>
      </c>
      <c r="D293" s="14">
        <v>0.18944</v>
      </c>
      <c r="E293" s="14">
        <v>0.77269999999999994</v>
      </c>
      <c r="F293" s="14">
        <v>1.32E-3</v>
      </c>
      <c r="G293" s="14">
        <v>1.2078</v>
      </c>
      <c r="H293" s="14">
        <v>1.3325</v>
      </c>
      <c r="I293" s="14">
        <v>4.9845E-2</v>
      </c>
      <c r="J293" s="14">
        <v>0.11312</v>
      </c>
      <c r="K293" s="14">
        <v>0.27746500000000002</v>
      </c>
      <c r="L293" s="14">
        <v>2.3484999999999999E-2</v>
      </c>
    </row>
    <row r="294" spans="1:12" x14ac:dyDescent="0.3">
      <c r="A294" s="61">
        <v>44168</v>
      </c>
      <c r="B294" s="14">
        <v>1.2255E-2</v>
      </c>
      <c r="C294" s="14">
        <v>0.74455000000000005</v>
      </c>
      <c r="D294" s="14">
        <v>0.19133</v>
      </c>
      <c r="E294" s="14">
        <v>0.77681500000000003</v>
      </c>
      <c r="F294" s="14">
        <v>1.32E-3</v>
      </c>
      <c r="G294" s="14">
        <v>1.216</v>
      </c>
      <c r="H294" s="14">
        <v>1.34985</v>
      </c>
      <c r="I294" s="14">
        <v>5.0285000000000003E-2</v>
      </c>
      <c r="J294" s="14">
        <v>0.11422499999999999</v>
      </c>
      <c r="K294" s="14">
        <v>0.27742499999999998</v>
      </c>
      <c r="L294" s="14">
        <v>2.3445000000000001E-2</v>
      </c>
    </row>
    <row r="295" spans="1:12" x14ac:dyDescent="0.3">
      <c r="A295" s="61">
        <v>44169</v>
      </c>
      <c r="B295" s="14">
        <v>1.2239999999999999E-2</v>
      </c>
      <c r="C295" s="14">
        <v>0.74330000000000007</v>
      </c>
      <c r="D295" s="14">
        <v>0.19370999999999999</v>
      </c>
      <c r="E295" s="14">
        <v>0.78096999999999994</v>
      </c>
      <c r="F295" s="14">
        <v>1.34E-3</v>
      </c>
      <c r="G295" s="14">
        <v>1.2141500000000001</v>
      </c>
      <c r="H295" s="14">
        <v>1.3472999999999999</v>
      </c>
      <c r="I295" s="14">
        <v>5.0545E-2</v>
      </c>
      <c r="J295" s="14">
        <v>0.11380999999999999</v>
      </c>
      <c r="K295" s="14">
        <v>0.278005</v>
      </c>
      <c r="L295" s="14">
        <v>2.3445000000000001E-2</v>
      </c>
    </row>
    <row r="296" spans="1:12" x14ac:dyDescent="0.3">
      <c r="A296" s="61">
        <v>44170</v>
      </c>
      <c r="B296" s="14">
        <v>1.2239999999999999E-2</v>
      </c>
      <c r="C296" s="14">
        <v>0.74330000000000007</v>
      </c>
      <c r="D296" s="14">
        <v>0.19370999999999999</v>
      </c>
      <c r="E296" s="14">
        <v>0.78096999999999994</v>
      </c>
      <c r="F296" s="14">
        <v>1.34E-3</v>
      </c>
      <c r="G296" s="14">
        <v>1.2141500000000001</v>
      </c>
      <c r="H296" s="14">
        <v>1.3472999999999999</v>
      </c>
      <c r="I296" s="14">
        <v>5.0545E-2</v>
      </c>
      <c r="J296" s="14">
        <v>0.11380999999999999</v>
      </c>
      <c r="K296" s="14">
        <v>0.278005</v>
      </c>
      <c r="L296" s="14">
        <v>2.3445000000000001E-2</v>
      </c>
    </row>
    <row r="297" spans="1:12" x14ac:dyDescent="0.3">
      <c r="A297" s="61">
        <v>44171</v>
      </c>
      <c r="B297" s="14">
        <v>1.2239999999999999E-2</v>
      </c>
      <c r="C297" s="14">
        <v>0.74330000000000007</v>
      </c>
      <c r="D297" s="14">
        <v>0.19370999999999999</v>
      </c>
      <c r="E297" s="14">
        <v>0.78096999999999994</v>
      </c>
      <c r="F297" s="14">
        <v>1.34E-3</v>
      </c>
      <c r="G297" s="14">
        <v>1.2141500000000001</v>
      </c>
      <c r="H297" s="14">
        <v>1.3472999999999999</v>
      </c>
      <c r="I297" s="14">
        <v>5.0545E-2</v>
      </c>
      <c r="J297" s="14">
        <v>0.11380999999999999</v>
      </c>
      <c r="K297" s="14">
        <v>0.278005</v>
      </c>
      <c r="L297" s="14">
        <v>2.3445000000000001E-2</v>
      </c>
    </row>
    <row r="298" spans="1:12" x14ac:dyDescent="0.3">
      <c r="A298" s="61">
        <v>44172</v>
      </c>
      <c r="B298" s="14">
        <v>1.227E-2</v>
      </c>
      <c r="C298" s="14">
        <v>0.74439999999999995</v>
      </c>
      <c r="D298" s="14">
        <v>0.19341</v>
      </c>
      <c r="E298" s="14">
        <v>0.78051500000000007</v>
      </c>
      <c r="F298" s="14">
        <v>1.34E-3</v>
      </c>
      <c r="G298" s="14">
        <v>1.2133499999999999</v>
      </c>
      <c r="H298" s="14">
        <v>1.3317000000000001</v>
      </c>
      <c r="I298" s="14">
        <v>5.0435000000000001E-2</v>
      </c>
      <c r="J298" s="14">
        <v>0.114565</v>
      </c>
      <c r="K298" s="14">
        <v>0.27839000000000003</v>
      </c>
      <c r="L298" s="14">
        <v>2.3414999999999998E-2</v>
      </c>
    </row>
    <row r="299" spans="1:12" x14ac:dyDescent="0.3">
      <c r="A299" s="61">
        <v>44173</v>
      </c>
      <c r="B299" s="14">
        <v>1.225E-2</v>
      </c>
      <c r="C299" s="14">
        <v>0.74134999999999995</v>
      </c>
      <c r="D299" s="14">
        <v>0.19341</v>
      </c>
      <c r="E299" s="14">
        <v>0.78176500000000004</v>
      </c>
      <c r="F299" s="14">
        <v>1.34E-3</v>
      </c>
      <c r="G299" s="14">
        <v>1.2113499999999999</v>
      </c>
      <c r="H299" s="14">
        <v>1.3361499999999999</v>
      </c>
      <c r="I299" s="14">
        <v>5.0610000000000002E-2</v>
      </c>
      <c r="J299" s="14">
        <v>0.11407</v>
      </c>
      <c r="K299" s="14">
        <v>0.27839000000000003</v>
      </c>
      <c r="L299" s="14">
        <v>2.3445000000000001E-2</v>
      </c>
    </row>
    <row r="300" spans="1:12" x14ac:dyDescent="0.3">
      <c r="A300" s="61">
        <v>44174</v>
      </c>
      <c r="B300" s="14">
        <v>1.2185E-2</v>
      </c>
      <c r="C300" s="14">
        <v>0.746</v>
      </c>
      <c r="D300" s="14">
        <v>0.19601499999999999</v>
      </c>
      <c r="E300" s="14">
        <v>0.78103</v>
      </c>
      <c r="F300" s="14">
        <v>1.3500000000000001E-3</v>
      </c>
      <c r="G300" s="14">
        <v>1.2081500000000001</v>
      </c>
      <c r="H300" s="14">
        <v>1.3394999999999999</v>
      </c>
      <c r="I300" s="14">
        <v>5.0500000000000003E-2</v>
      </c>
      <c r="J300" s="14">
        <v>0.11343499999999999</v>
      </c>
      <c r="K300" s="14">
        <v>0.27781</v>
      </c>
      <c r="L300" s="14">
        <v>2.3445000000000001E-2</v>
      </c>
    </row>
    <row r="301" spans="1:12" x14ac:dyDescent="0.3">
      <c r="A301" s="61">
        <v>44175</v>
      </c>
      <c r="B301" s="14">
        <v>1.217E-2</v>
      </c>
      <c r="C301" s="14">
        <v>0.75154999999999994</v>
      </c>
      <c r="D301" s="14">
        <v>0.19567000000000001</v>
      </c>
      <c r="E301" s="14">
        <v>0.7863150000000001</v>
      </c>
      <c r="F301" s="14">
        <v>1.3550000000000001E-3</v>
      </c>
      <c r="G301" s="14">
        <v>1.21295</v>
      </c>
      <c r="H301" s="14">
        <v>1.3271500000000001</v>
      </c>
      <c r="I301" s="14">
        <v>5.0165000000000001E-2</v>
      </c>
      <c r="J301" s="14">
        <v>0.1142</v>
      </c>
      <c r="K301" s="14"/>
      <c r="L301" s="14">
        <v>2.3445000000000001E-2</v>
      </c>
    </row>
    <row r="302" spans="1:12" x14ac:dyDescent="0.3">
      <c r="A302" s="61">
        <v>44176</v>
      </c>
      <c r="B302" s="14">
        <v>1.2160000000000001E-2</v>
      </c>
      <c r="C302" s="14">
        <v>0.75350000000000006</v>
      </c>
      <c r="D302" s="14">
        <v>0.196655</v>
      </c>
      <c r="E302" s="14">
        <v>0.78293000000000001</v>
      </c>
      <c r="F302" s="14">
        <v>1.3600000000000001E-3</v>
      </c>
      <c r="G302" s="14">
        <v>1.21075</v>
      </c>
      <c r="H302" s="14">
        <v>1.3210999999999999</v>
      </c>
      <c r="I302" s="14">
        <v>4.9704999999999999E-2</v>
      </c>
      <c r="J302" s="14">
        <v>0.113315</v>
      </c>
      <c r="K302" s="14">
        <v>0.27773500000000001</v>
      </c>
      <c r="L302" s="14">
        <v>2.3445000000000001E-2</v>
      </c>
    </row>
    <row r="303" spans="1:12" x14ac:dyDescent="0.3">
      <c r="A303" s="61">
        <v>44177</v>
      </c>
      <c r="B303" s="14">
        <v>1.2160000000000001E-2</v>
      </c>
      <c r="C303" s="14">
        <v>0.75350000000000006</v>
      </c>
      <c r="D303" s="14">
        <v>0.196655</v>
      </c>
      <c r="E303" s="14">
        <v>0.78293000000000001</v>
      </c>
      <c r="F303" s="14">
        <v>1.3600000000000001E-3</v>
      </c>
      <c r="G303" s="14">
        <v>1.21075</v>
      </c>
      <c r="H303" s="14">
        <v>1.3210999999999999</v>
      </c>
      <c r="I303" s="14">
        <v>4.9704999999999999E-2</v>
      </c>
      <c r="J303" s="14">
        <v>0.113315</v>
      </c>
      <c r="K303" s="14">
        <v>0.27773500000000001</v>
      </c>
      <c r="L303" s="14">
        <v>2.3445000000000001E-2</v>
      </c>
    </row>
    <row r="304" spans="1:12" x14ac:dyDescent="0.3">
      <c r="A304" s="61">
        <v>44178</v>
      </c>
      <c r="B304" s="14">
        <v>1.2160000000000001E-2</v>
      </c>
      <c r="C304" s="14">
        <v>0.75350000000000006</v>
      </c>
      <c r="D304" s="14">
        <v>0.196655</v>
      </c>
      <c r="E304" s="14">
        <v>0.78293000000000001</v>
      </c>
      <c r="F304" s="14">
        <v>1.3600000000000001E-3</v>
      </c>
      <c r="G304" s="14">
        <v>1.21075</v>
      </c>
      <c r="H304" s="14">
        <v>1.3210999999999999</v>
      </c>
      <c r="I304" s="14">
        <v>4.9704999999999999E-2</v>
      </c>
      <c r="J304" s="14">
        <v>0.113315</v>
      </c>
      <c r="K304" s="14">
        <v>0.27773500000000001</v>
      </c>
      <c r="L304" s="14">
        <v>2.3445000000000001E-2</v>
      </c>
    </row>
    <row r="305" spans="1:12" x14ac:dyDescent="0.3">
      <c r="A305" s="61">
        <v>44179</v>
      </c>
      <c r="B305" s="14">
        <v>1.2120000000000001E-2</v>
      </c>
      <c r="C305" s="14">
        <v>0.75364999999999993</v>
      </c>
      <c r="D305" s="14">
        <v>0.19728000000000001</v>
      </c>
      <c r="E305" s="14">
        <v>0.78289500000000001</v>
      </c>
      <c r="F305" s="14">
        <v>1.3600000000000001E-3</v>
      </c>
      <c r="G305" s="14">
        <v>1.2124999999999999</v>
      </c>
      <c r="H305" s="14">
        <v>1.33165</v>
      </c>
      <c r="I305" s="14">
        <v>4.9595E-2</v>
      </c>
      <c r="J305" s="14">
        <v>0.11438</v>
      </c>
      <c r="K305" s="14">
        <v>0.27796500000000002</v>
      </c>
      <c r="L305" s="14">
        <v>2.3445000000000001E-2</v>
      </c>
    </row>
    <row r="306" spans="1:12" x14ac:dyDescent="0.3">
      <c r="A306" s="61">
        <v>44180</v>
      </c>
      <c r="B306" s="14">
        <v>1.2109999999999999E-2</v>
      </c>
      <c r="C306" s="14">
        <v>0.75395000000000001</v>
      </c>
      <c r="D306" s="14">
        <v>0.19772000000000001</v>
      </c>
      <c r="E306" s="14">
        <v>0.78526499999999999</v>
      </c>
      <c r="F306" s="14">
        <v>1.3500000000000001E-3</v>
      </c>
      <c r="G306" s="14">
        <v>1.2152499999999999</v>
      </c>
      <c r="H306" s="14">
        <v>1.33995</v>
      </c>
      <c r="I306" s="14">
        <v>4.9715000000000002E-2</v>
      </c>
      <c r="J306" s="14">
        <v>0.11447</v>
      </c>
      <c r="K306" s="14">
        <v>0.27877999999999997</v>
      </c>
      <c r="L306" s="14">
        <v>2.3535E-2</v>
      </c>
    </row>
    <row r="307" spans="1:12" x14ac:dyDescent="0.3">
      <c r="A307" s="61">
        <v>44181</v>
      </c>
      <c r="B307" s="14">
        <v>1.21E-2</v>
      </c>
      <c r="C307" s="14">
        <v>0.75645000000000007</v>
      </c>
      <c r="D307" s="14">
        <v>0.19621</v>
      </c>
      <c r="E307" s="14">
        <v>0.78363500000000008</v>
      </c>
      <c r="F307" s="14">
        <v>1.3600000000000001E-3</v>
      </c>
      <c r="G307" s="14">
        <v>1.21865</v>
      </c>
      <c r="H307" s="14">
        <v>1.3496999999999999</v>
      </c>
      <c r="I307" s="14">
        <v>5.0100000000000013E-2</v>
      </c>
      <c r="J307" s="14">
        <v>0.11504499999999999</v>
      </c>
      <c r="K307" s="14">
        <v>0.27854499999999999</v>
      </c>
      <c r="L307" s="14">
        <v>2.3564999999999999E-2</v>
      </c>
    </row>
    <row r="308" spans="1:12" x14ac:dyDescent="0.3">
      <c r="A308" s="61">
        <v>44182</v>
      </c>
      <c r="B308" s="14">
        <v>1.208E-2</v>
      </c>
      <c r="C308" s="14">
        <v>0.76175000000000004</v>
      </c>
      <c r="D308" s="14">
        <v>0.19586500000000001</v>
      </c>
      <c r="E308" s="14">
        <v>0.78606500000000001</v>
      </c>
      <c r="F308" s="14">
        <v>1.3799999999999999E-3</v>
      </c>
      <c r="G308" s="14">
        <v>1.2244999999999999</v>
      </c>
      <c r="H308" s="14">
        <v>1.3593</v>
      </c>
      <c r="I308" s="14">
        <v>5.0405000000000012E-2</v>
      </c>
      <c r="J308" s="14">
        <v>0.11656</v>
      </c>
      <c r="K308" s="14">
        <v>0.27877999999999997</v>
      </c>
      <c r="L308" s="14">
        <v>2.358E-2</v>
      </c>
    </row>
    <row r="309" spans="1:12" x14ac:dyDescent="0.3">
      <c r="A309" s="61">
        <v>44183</v>
      </c>
      <c r="B309" s="14">
        <v>1.2064999999999999E-2</v>
      </c>
      <c r="C309" s="14">
        <v>0.76105</v>
      </c>
      <c r="D309" s="14">
        <v>0.19758999999999999</v>
      </c>
      <c r="E309" s="14">
        <v>0.78261999999999998</v>
      </c>
      <c r="F309" s="14">
        <v>1.3699999999999999E-3</v>
      </c>
      <c r="G309" s="14">
        <v>1.2234499999999999</v>
      </c>
      <c r="H309" s="14">
        <v>1.3484</v>
      </c>
      <c r="I309" s="14">
        <v>5.008E-2</v>
      </c>
      <c r="J309" s="14">
        <v>0.11624</v>
      </c>
      <c r="K309" s="14">
        <v>0.27901500000000001</v>
      </c>
      <c r="L309" s="14">
        <v>2.375E-2</v>
      </c>
    </row>
    <row r="310" spans="1:12" x14ac:dyDescent="0.3">
      <c r="A310" s="61">
        <v>44184</v>
      </c>
      <c r="B310" s="14">
        <v>1.2064999999999999E-2</v>
      </c>
      <c r="C310" s="14">
        <v>0.76105</v>
      </c>
      <c r="D310" s="14">
        <v>0.19758999999999999</v>
      </c>
      <c r="E310" s="14">
        <v>0.78261999999999998</v>
      </c>
      <c r="F310" s="14">
        <v>1.3699999999999999E-3</v>
      </c>
      <c r="G310" s="14">
        <v>1.2234499999999999</v>
      </c>
      <c r="H310" s="14">
        <v>1.3484</v>
      </c>
      <c r="I310" s="14">
        <v>5.008E-2</v>
      </c>
      <c r="J310" s="14">
        <v>0.11624</v>
      </c>
      <c r="K310" s="14">
        <v>0.27901500000000001</v>
      </c>
      <c r="L310" s="14">
        <v>2.375E-2</v>
      </c>
    </row>
    <row r="311" spans="1:12" x14ac:dyDescent="0.3">
      <c r="A311" s="61">
        <v>44185</v>
      </c>
      <c r="B311" s="14">
        <v>1.2064999999999999E-2</v>
      </c>
      <c r="C311" s="14">
        <v>0.76105</v>
      </c>
      <c r="D311" s="14">
        <v>0.19758999999999999</v>
      </c>
      <c r="E311" s="14">
        <v>0.78261999999999998</v>
      </c>
      <c r="F311" s="14">
        <v>1.3699999999999999E-3</v>
      </c>
      <c r="G311" s="14">
        <v>1.2234499999999999</v>
      </c>
      <c r="H311" s="14">
        <v>1.3484</v>
      </c>
      <c r="I311" s="14">
        <v>5.008E-2</v>
      </c>
      <c r="J311" s="14">
        <v>0.11624</v>
      </c>
      <c r="K311" s="14">
        <v>0.27901500000000001</v>
      </c>
      <c r="L311" s="14">
        <v>2.375E-2</v>
      </c>
    </row>
    <row r="312" spans="1:12" x14ac:dyDescent="0.3">
      <c r="A312" s="61">
        <v>44186</v>
      </c>
      <c r="B312" s="14">
        <v>1.2019999999999999E-2</v>
      </c>
      <c r="C312" s="14">
        <v>0.75585000000000002</v>
      </c>
      <c r="D312" s="14">
        <v>0.19614000000000001</v>
      </c>
      <c r="E312" s="14">
        <v>0.77705999999999997</v>
      </c>
      <c r="F312" s="14">
        <v>1.3649999999999999E-3</v>
      </c>
      <c r="G312" s="14">
        <v>1.2212499999999999</v>
      </c>
      <c r="H312" s="14">
        <v>1.33195</v>
      </c>
      <c r="I312" s="14">
        <v>4.9590000000000002E-2</v>
      </c>
      <c r="J312" s="14">
        <v>0.115205</v>
      </c>
      <c r="K312" s="14">
        <v>0.27815499999999999</v>
      </c>
      <c r="L312" s="14">
        <v>2.3689999999999999E-2</v>
      </c>
    </row>
    <row r="313" spans="1:12" x14ac:dyDescent="0.3">
      <c r="A313" s="61">
        <v>44187</v>
      </c>
      <c r="B313" s="14">
        <v>1.201E-2</v>
      </c>
      <c r="C313" s="14">
        <v>0.75195000000000001</v>
      </c>
      <c r="D313" s="14">
        <v>0.19391</v>
      </c>
      <c r="E313" s="14">
        <v>0.77336000000000005</v>
      </c>
      <c r="F313" s="14">
        <v>1.3699999999999999E-3</v>
      </c>
      <c r="G313" s="14">
        <v>1.21685</v>
      </c>
      <c r="H313" s="14">
        <v>1.3317000000000001</v>
      </c>
      <c r="I313" s="14">
        <v>4.9790000000000001E-2</v>
      </c>
      <c r="J313" s="14">
        <v>0.11436</v>
      </c>
      <c r="K313" s="14">
        <v>0.27734999999999999</v>
      </c>
      <c r="L313" s="14">
        <v>2.3715E-2</v>
      </c>
    </row>
    <row r="314" spans="1:12" x14ac:dyDescent="0.3">
      <c r="A314" s="61">
        <v>44188</v>
      </c>
      <c r="B314" s="14">
        <v>1.1990000000000001E-2</v>
      </c>
      <c r="C314" s="14">
        <v>0.75834999999999997</v>
      </c>
      <c r="D314" s="14">
        <v>0.19428000000000001</v>
      </c>
      <c r="E314" s="14">
        <v>0.77771999999999997</v>
      </c>
      <c r="F314" s="14">
        <v>1.395E-3</v>
      </c>
      <c r="G314" s="14">
        <v>1.21865</v>
      </c>
      <c r="H314" s="14">
        <v>1.35215</v>
      </c>
      <c r="I314" s="14">
        <v>4.965E-2</v>
      </c>
      <c r="J314" s="14">
        <v>0.11561</v>
      </c>
      <c r="K314" s="14">
        <v>0.27661999999999998</v>
      </c>
      <c r="L314" s="14">
        <v>2.3625E-2</v>
      </c>
    </row>
    <row r="315" spans="1:12" x14ac:dyDescent="0.3">
      <c r="A315" s="61">
        <v>44189</v>
      </c>
      <c r="B315" s="14">
        <v>1.2E-2</v>
      </c>
      <c r="C315" s="14">
        <v>0.75960000000000005</v>
      </c>
      <c r="D315" s="14">
        <v>0.19328000000000001</v>
      </c>
      <c r="E315" s="14">
        <v>0.77868999999999999</v>
      </c>
      <c r="F315" s="14">
        <v>1.4E-3</v>
      </c>
      <c r="G315" s="14">
        <v>1.21835</v>
      </c>
      <c r="H315" s="14">
        <v>1.35365</v>
      </c>
      <c r="I315" s="14">
        <v>5.0350000000000013E-2</v>
      </c>
      <c r="J315" s="14">
        <v>0.115865</v>
      </c>
      <c r="K315" s="14">
        <v>0.27684999999999998</v>
      </c>
      <c r="L315" s="14">
        <v>2.3705E-2</v>
      </c>
    </row>
    <row r="316" spans="1:12" x14ac:dyDescent="0.3">
      <c r="A316" s="61">
        <v>44190</v>
      </c>
      <c r="B316" s="14">
        <v>1.2E-2</v>
      </c>
      <c r="C316" s="14">
        <v>0.75960000000000005</v>
      </c>
      <c r="D316" s="14">
        <v>0.19328000000000001</v>
      </c>
      <c r="E316" s="14">
        <v>0.77868999999999999</v>
      </c>
      <c r="F316" s="14">
        <v>1.4E-3</v>
      </c>
      <c r="G316" s="14">
        <v>1.21835</v>
      </c>
      <c r="H316" s="14">
        <v>1.35365</v>
      </c>
      <c r="I316" s="14">
        <v>5.0350000000000013E-2</v>
      </c>
      <c r="J316" s="14">
        <v>0.115865</v>
      </c>
      <c r="K316" s="14">
        <v>0.27684999999999998</v>
      </c>
      <c r="L316" s="14">
        <v>2.3705E-2</v>
      </c>
    </row>
    <row r="317" spans="1:12" x14ac:dyDescent="0.3">
      <c r="A317" s="61">
        <v>44191</v>
      </c>
      <c r="B317" s="14">
        <v>1.2E-2</v>
      </c>
      <c r="C317" s="14">
        <v>0.75960000000000005</v>
      </c>
      <c r="D317" s="14">
        <v>0.19328000000000001</v>
      </c>
      <c r="E317" s="14">
        <v>0.77868999999999999</v>
      </c>
      <c r="F317" s="14">
        <v>1.4E-3</v>
      </c>
      <c r="G317" s="14">
        <v>1.21835</v>
      </c>
      <c r="H317" s="14">
        <v>1.35365</v>
      </c>
      <c r="I317" s="14">
        <v>5.0350000000000013E-2</v>
      </c>
      <c r="J317" s="14">
        <v>0.115865</v>
      </c>
      <c r="K317" s="14">
        <v>0.27684999999999998</v>
      </c>
      <c r="L317" s="14">
        <v>2.3705E-2</v>
      </c>
    </row>
    <row r="318" spans="1:12" x14ac:dyDescent="0.3">
      <c r="A318" s="61">
        <v>44192</v>
      </c>
      <c r="B318" s="14">
        <v>1.2E-2</v>
      </c>
      <c r="C318" s="14">
        <v>0.75960000000000005</v>
      </c>
      <c r="D318" s="14">
        <v>0.19328000000000001</v>
      </c>
      <c r="E318" s="14">
        <v>0.77868999999999999</v>
      </c>
      <c r="F318" s="14">
        <v>1.4E-3</v>
      </c>
      <c r="G318" s="14">
        <v>1.21835</v>
      </c>
      <c r="H318" s="14">
        <v>1.35365</v>
      </c>
      <c r="I318" s="14">
        <v>5.0350000000000013E-2</v>
      </c>
      <c r="J318" s="14">
        <v>0.115865</v>
      </c>
      <c r="K318" s="14">
        <v>0.27684999999999998</v>
      </c>
      <c r="L318" s="14">
        <v>2.3705E-2</v>
      </c>
    </row>
    <row r="319" spans="1:12" x14ac:dyDescent="0.3">
      <c r="A319" s="61">
        <v>44193</v>
      </c>
      <c r="B319" s="14">
        <v>1.191E-2</v>
      </c>
      <c r="C319" s="14">
        <v>0.75645000000000007</v>
      </c>
      <c r="D319" s="14">
        <v>0.193075</v>
      </c>
      <c r="E319" s="14">
        <v>0.77712000000000003</v>
      </c>
      <c r="F319" s="14">
        <v>1.4E-3</v>
      </c>
      <c r="G319" s="14">
        <v>1.2214499999999999</v>
      </c>
      <c r="H319" s="14">
        <v>1.3445</v>
      </c>
      <c r="I319" s="14">
        <v>4.9750000000000003E-2</v>
      </c>
      <c r="J319" s="14">
        <v>0.11541999999999999</v>
      </c>
      <c r="K319" s="14">
        <v>0.27692499999999998</v>
      </c>
      <c r="L319" s="14">
        <v>2.3720000000000001E-2</v>
      </c>
    </row>
    <row r="320" spans="1:12" x14ac:dyDescent="0.3">
      <c r="A320" s="61">
        <v>44194</v>
      </c>
      <c r="B320" s="14">
        <v>1.1900000000000001E-2</v>
      </c>
      <c r="C320" s="14">
        <v>0.76144999999999996</v>
      </c>
      <c r="D320" s="14">
        <v>0.19087999999999999</v>
      </c>
      <c r="E320" s="14">
        <v>0.78121499999999999</v>
      </c>
      <c r="F320" s="14">
        <v>1.4E-3</v>
      </c>
      <c r="G320" s="14">
        <v>1.2241500000000001</v>
      </c>
      <c r="H320" s="14">
        <v>1.3491</v>
      </c>
      <c r="I320" s="14">
        <v>5.024E-2</v>
      </c>
      <c r="J320" s="14">
        <v>0.11598</v>
      </c>
      <c r="K320" s="14">
        <v>0.27666000000000002</v>
      </c>
      <c r="L320" s="14">
        <v>2.3734999999999999E-2</v>
      </c>
    </row>
    <row r="321" spans="1:12" x14ac:dyDescent="0.3">
      <c r="A321" s="61">
        <v>44195</v>
      </c>
      <c r="B321" s="14">
        <v>1.188E-2</v>
      </c>
      <c r="C321" s="14">
        <v>0.76849999999999996</v>
      </c>
      <c r="D321" s="14">
        <v>0.19253000000000001</v>
      </c>
      <c r="E321" s="14">
        <v>0.78381499999999993</v>
      </c>
      <c r="F321" s="14">
        <v>1.41E-3</v>
      </c>
      <c r="G321" s="14">
        <v>1.2300500000000001</v>
      </c>
      <c r="H321" s="14">
        <v>1.3609500000000001</v>
      </c>
      <c r="I321" s="14">
        <v>5.024E-2</v>
      </c>
      <c r="J321" s="14">
        <v>0.11712500000000001</v>
      </c>
      <c r="K321" s="14">
        <v>0.27639000000000002</v>
      </c>
      <c r="L321" s="14">
        <v>2.3630000000000002E-2</v>
      </c>
    </row>
    <row r="322" spans="1:12" x14ac:dyDescent="0.3">
      <c r="A322" s="61">
        <v>44196</v>
      </c>
      <c r="B322" s="14">
        <v>1.189E-2</v>
      </c>
      <c r="C322" s="14">
        <v>0.77164999999999995</v>
      </c>
      <c r="D322" s="14">
        <v>0.19243499999999999</v>
      </c>
      <c r="E322" s="14">
        <v>0.78492500000000009</v>
      </c>
      <c r="F322" s="14">
        <v>1.4E-3</v>
      </c>
      <c r="G322" s="14">
        <v>1.2235499999999999</v>
      </c>
      <c r="H322" s="14">
        <v>1.3669500000000001</v>
      </c>
      <c r="I322" s="14">
        <v>5.0180000000000002E-2</v>
      </c>
      <c r="J322" s="14">
        <v>0.11679</v>
      </c>
      <c r="K322" s="14">
        <v>0.27634999999999998</v>
      </c>
      <c r="L322" s="14">
        <v>2.3535E-2</v>
      </c>
    </row>
    <row r="323" spans="1:12" x14ac:dyDescent="0.3">
      <c r="A323" s="61">
        <v>44197</v>
      </c>
      <c r="B323" s="14">
        <v>1.189E-2</v>
      </c>
      <c r="C323" s="14">
        <v>0.77164999999999995</v>
      </c>
      <c r="D323" s="14">
        <v>0.19243499999999999</v>
      </c>
      <c r="E323" s="14">
        <v>0.78492500000000009</v>
      </c>
      <c r="F323" s="14">
        <v>1.4E-3</v>
      </c>
      <c r="G323" s="14">
        <v>1.2235499999999999</v>
      </c>
      <c r="H323" s="14">
        <v>1.3669500000000001</v>
      </c>
      <c r="I323" s="14">
        <v>5.0180000000000002E-2</v>
      </c>
      <c r="J323" s="14">
        <v>0.11679</v>
      </c>
      <c r="K323" s="14">
        <v>0.27634999999999998</v>
      </c>
      <c r="L323" s="14">
        <v>2.3535E-2</v>
      </c>
    </row>
    <row r="324" spans="1:12" x14ac:dyDescent="0.3">
      <c r="A324" s="61">
        <v>44198</v>
      </c>
      <c r="B324" s="14">
        <v>1.189E-2</v>
      </c>
      <c r="C324" s="14">
        <v>0.77164999999999995</v>
      </c>
      <c r="D324" s="14">
        <v>0.19243499999999999</v>
      </c>
      <c r="E324" s="14">
        <v>0.78492500000000009</v>
      </c>
      <c r="F324" s="14">
        <v>1.4E-3</v>
      </c>
      <c r="G324" s="14">
        <v>1.2235499999999999</v>
      </c>
      <c r="H324" s="14">
        <v>1.3669500000000001</v>
      </c>
      <c r="I324" s="14">
        <v>5.0180000000000002E-2</v>
      </c>
      <c r="J324" s="14">
        <v>0.11679</v>
      </c>
      <c r="K324" s="14">
        <v>0.27634999999999998</v>
      </c>
      <c r="L324" s="14">
        <v>2.3535E-2</v>
      </c>
    </row>
    <row r="325" spans="1:12" x14ac:dyDescent="0.3">
      <c r="A325" s="61">
        <v>44199</v>
      </c>
      <c r="B325" s="14">
        <v>1.189E-2</v>
      </c>
      <c r="C325" s="14">
        <v>0.77164999999999995</v>
      </c>
      <c r="D325" s="14">
        <v>0.19243499999999999</v>
      </c>
      <c r="E325" s="14">
        <v>0.78492500000000009</v>
      </c>
      <c r="F325" s="14">
        <v>1.4E-3</v>
      </c>
      <c r="G325" s="14">
        <v>1.2235499999999999</v>
      </c>
      <c r="H325" s="14">
        <v>1.3669500000000001</v>
      </c>
      <c r="I325" s="14">
        <v>5.0180000000000002E-2</v>
      </c>
      <c r="J325" s="14">
        <v>0.11679</v>
      </c>
      <c r="K325" s="14">
        <v>0.27634999999999998</v>
      </c>
      <c r="L325" s="14">
        <v>2.3535E-2</v>
      </c>
    </row>
    <row r="326" spans="1:12" x14ac:dyDescent="0.3">
      <c r="A326" s="61">
        <v>44200</v>
      </c>
      <c r="B326" s="14">
        <v>1.18E-2</v>
      </c>
      <c r="C326" s="14">
        <v>0.76824999999999999</v>
      </c>
      <c r="D326" s="14">
        <v>0.19243499999999999</v>
      </c>
      <c r="E326" s="14">
        <v>0.78479999999999994</v>
      </c>
      <c r="F326" s="14">
        <v>1.42E-3</v>
      </c>
      <c r="G326" s="14">
        <v>1.2272000000000001</v>
      </c>
      <c r="H326" s="14">
        <v>1.35795</v>
      </c>
      <c r="I326" s="14">
        <v>5.0345000000000001E-2</v>
      </c>
      <c r="J326" s="14">
        <v>0.11718000000000001</v>
      </c>
      <c r="K326" s="14">
        <v>0.27616000000000002</v>
      </c>
      <c r="L326" s="14">
        <v>2.3535E-2</v>
      </c>
    </row>
    <row r="327" spans="1:12" x14ac:dyDescent="0.3">
      <c r="A327" s="61">
        <v>44201</v>
      </c>
      <c r="B327" s="14">
        <v>1.179E-2</v>
      </c>
      <c r="C327" s="14">
        <v>0.77290000000000003</v>
      </c>
      <c r="D327" s="14">
        <v>0.19370999999999999</v>
      </c>
      <c r="E327" s="14">
        <v>0.78517000000000003</v>
      </c>
      <c r="F327" s="14">
        <v>1.42E-3</v>
      </c>
      <c r="G327" s="14">
        <v>1.2276499999999999</v>
      </c>
      <c r="H327" s="14">
        <v>1.3594999999999999</v>
      </c>
      <c r="I327" s="14">
        <v>5.0199999999999988E-2</v>
      </c>
      <c r="J327" s="14">
        <v>0.117435</v>
      </c>
      <c r="K327" s="14">
        <v>0.27578000000000003</v>
      </c>
      <c r="L327" s="14">
        <v>2.3599999999999999E-2</v>
      </c>
    </row>
    <row r="328" spans="1:12" x14ac:dyDescent="0.3">
      <c r="A328" s="61">
        <v>44202</v>
      </c>
      <c r="B328" s="14">
        <v>1.1769999999999999E-2</v>
      </c>
      <c r="C328" s="14">
        <v>0.77715000000000001</v>
      </c>
      <c r="D328" s="14">
        <v>0.18773000000000001</v>
      </c>
      <c r="E328" s="14">
        <v>0.78745500000000002</v>
      </c>
      <c r="F328" s="14">
        <v>1.4300000000000001E-3</v>
      </c>
      <c r="G328" s="14">
        <v>1.2281</v>
      </c>
      <c r="H328" s="14">
        <v>1.3551</v>
      </c>
      <c r="I328" s="14">
        <v>5.0604999999999997E-2</v>
      </c>
      <c r="J328" s="14">
        <v>0.118455</v>
      </c>
      <c r="K328" s="14">
        <v>0.27555000000000002</v>
      </c>
      <c r="L328" s="14">
        <v>2.3640000000000001E-2</v>
      </c>
    </row>
    <row r="329" spans="1:12" x14ac:dyDescent="0.3">
      <c r="A329" s="61">
        <v>44203</v>
      </c>
      <c r="B329" s="14">
        <v>1.176E-2</v>
      </c>
      <c r="C329" s="14">
        <v>0.77485000000000004</v>
      </c>
      <c r="D329" s="14">
        <v>0.18804000000000001</v>
      </c>
      <c r="E329" s="14">
        <v>0.78606500000000001</v>
      </c>
      <c r="F329" s="14">
        <v>1.41E-3</v>
      </c>
      <c r="G329" s="14">
        <v>1.2259500000000001</v>
      </c>
      <c r="H329" s="14">
        <v>1.3543000000000001</v>
      </c>
      <c r="I329" s="14">
        <v>5.0180000000000002E-2</v>
      </c>
      <c r="J329" s="14">
        <v>0.11837499999999999</v>
      </c>
      <c r="K329" s="14">
        <v>0.27567000000000003</v>
      </c>
      <c r="L329" s="14">
        <v>2.3535E-2</v>
      </c>
    </row>
    <row r="330" spans="1:12" x14ac:dyDescent="0.3">
      <c r="A330" s="61">
        <v>44204</v>
      </c>
      <c r="B330" s="14">
        <v>1.1745E-2</v>
      </c>
      <c r="C330" s="14">
        <v>0.77815000000000001</v>
      </c>
      <c r="D330" s="14">
        <v>0.18715999999999999</v>
      </c>
      <c r="E330" s="14">
        <v>0.788045</v>
      </c>
      <c r="F330" s="14">
        <v>1.4E-3</v>
      </c>
      <c r="G330" s="14">
        <v>1.2256</v>
      </c>
      <c r="H330" s="14">
        <v>1.3593</v>
      </c>
      <c r="I330" s="14">
        <v>5.0145000000000002E-2</v>
      </c>
      <c r="J330" s="14">
        <v>0.11896</v>
      </c>
      <c r="K330" s="14">
        <v>0.27612500000000001</v>
      </c>
      <c r="L330" s="14">
        <v>2.3525000000000001E-2</v>
      </c>
    </row>
    <row r="331" spans="1:12" x14ac:dyDescent="0.3">
      <c r="A331" s="61">
        <v>44205</v>
      </c>
      <c r="B331" s="14">
        <v>1.1745E-2</v>
      </c>
      <c r="C331" s="14">
        <v>0.77815000000000001</v>
      </c>
      <c r="D331" s="14">
        <v>0.18715999999999999</v>
      </c>
      <c r="E331" s="14">
        <v>0.788045</v>
      </c>
      <c r="F331" s="14">
        <v>1.4E-3</v>
      </c>
      <c r="G331" s="14">
        <v>1.2256</v>
      </c>
      <c r="H331" s="14">
        <v>1.3593</v>
      </c>
      <c r="I331" s="14">
        <v>5.0145000000000002E-2</v>
      </c>
      <c r="J331" s="14">
        <v>0.11896</v>
      </c>
      <c r="K331" s="14">
        <v>0.27612500000000001</v>
      </c>
      <c r="L331" s="14">
        <v>2.3525000000000001E-2</v>
      </c>
    </row>
    <row r="332" spans="1:12" x14ac:dyDescent="0.3">
      <c r="A332" s="61">
        <v>44206</v>
      </c>
      <c r="B332" s="14">
        <v>1.1745E-2</v>
      </c>
      <c r="C332" s="14">
        <v>0.77815000000000001</v>
      </c>
      <c r="D332" s="14">
        <v>0.18715999999999999</v>
      </c>
      <c r="E332" s="14">
        <v>0.788045</v>
      </c>
      <c r="F332" s="14">
        <v>1.4E-3</v>
      </c>
      <c r="G332" s="14">
        <v>1.2256</v>
      </c>
      <c r="H332" s="14">
        <v>1.3593</v>
      </c>
      <c r="I332" s="14">
        <v>5.0145000000000002E-2</v>
      </c>
      <c r="J332" s="14">
        <v>0.11896</v>
      </c>
      <c r="K332" s="14">
        <v>0.27612500000000001</v>
      </c>
      <c r="L332" s="14">
        <v>2.3525000000000001E-2</v>
      </c>
    </row>
    <row r="333" spans="1:12" x14ac:dyDescent="0.3">
      <c r="A333" s="61">
        <v>44207</v>
      </c>
      <c r="B333" s="14">
        <v>1.171E-2</v>
      </c>
      <c r="C333" s="14">
        <v>0.76924999999999999</v>
      </c>
      <c r="D333" s="14">
        <v>0.18715999999999999</v>
      </c>
      <c r="E333" s="14">
        <v>0.78105999999999998</v>
      </c>
      <c r="F333" s="14">
        <v>1.3849999999999999E-3</v>
      </c>
      <c r="G333" s="14">
        <v>1.21505</v>
      </c>
      <c r="H333" s="14">
        <v>1.3488500000000001</v>
      </c>
      <c r="I333" s="14">
        <v>4.9709999999999997E-2</v>
      </c>
      <c r="J333" s="14">
        <v>0.11704000000000001</v>
      </c>
      <c r="K333" s="14">
        <v>0.27612500000000001</v>
      </c>
      <c r="L333" s="14">
        <v>2.3525000000000001E-2</v>
      </c>
    </row>
    <row r="334" spans="1:12" x14ac:dyDescent="0.3">
      <c r="A334" s="61">
        <v>44208</v>
      </c>
      <c r="B334" s="14">
        <v>1.1695000000000001E-2</v>
      </c>
      <c r="C334" s="14">
        <v>0.77265000000000006</v>
      </c>
      <c r="D334" s="14">
        <v>0.18628</v>
      </c>
      <c r="E334" s="14">
        <v>0.78329500000000007</v>
      </c>
      <c r="F334" s="14">
        <v>1.3699999999999999E-3</v>
      </c>
      <c r="G334" s="14">
        <v>1.2158500000000001</v>
      </c>
      <c r="H334" s="14">
        <v>1.36225</v>
      </c>
      <c r="I334" s="14">
        <v>5.0129999999999987E-2</v>
      </c>
      <c r="J334" s="14">
        <v>0.11728</v>
      </c>
      <c r="K334" s="14">
        <v>0.27681</v>
      </c>
      <c r="L334" s="14">
        <v>2.3525000000000001E-2</v>
      </c>
    </row>
    <row r="335" spans="1:12" x14ac:dyDescent="0.3">
      <c r="A335" s="61">
        <v>44209</v>
      </c>
      <c r="B335" s="14">
        <v>1.1695000000000001E-2</v>
      </c>
      <c r="C335" s="14">
        <v>0.77385000000000004</v>
      </c>
      <c r="D335" s="14">
        <v>0.18303</v>
      </c>
      <c r="E335" s="14">
        <v>0.78618999999999994</v>
      </c>
      <c r="F335" s="14">
        <v>1.3500000000000001E-3</v>
      </c>
      <c r="G335" s="14">
        <v>1.2160500000000001</v>
      </c>
      <c r="H335" s="14">
        <v>1.3637999999999999</v>
      </c>
      <c r="I335" s="14">
        <v>5.0595000000000001E-2</v>
      </c>
      <c r="J335" s="14">
        <v>0.117865</v>
      </c>
      <c r="K335" s="14">
        <v>0.27723500000000001</v>
      </c>
      <c r="L335" s="14">
        <v>2.3574999999999999E-2</v>
      </c>
    </row>
    <row r="336" spans="1:12" x14ac:dyDescent="0.3">
      <c r="A336" s="61">
        <v>44210</v>
      </c>
      <c r="B336" s="14">
        <v>1.171E-2</v>
      </c>
      <c r="C336" s="14">
        <v>0.77705000000000002</v>
      </c>
      <c r="D336" s="14">
        <v>0.18844</v>
      </c>
      <c r="E336" s="14">
        <v>0.79019499999999998</v>
      </c>
      <c r="F336" s="14">
        <v>1.3600000000000001E-3</v>
      </c>
      <c r="G336" s="14">
        <v>1.2135</v>
      </c>
      <c r="H336" s="14">
        <v>1.3678999999999999</v>
      </c>
      <c r="I336" s="14">
        <v>5.0514999999999997E-2</v>
      </c>
      <c r="J336" s="14">
        <v>0.11794</v>
      </c>
      <c r="K336" s="14">
        <v>0.27681</v>
      </c>
      <c r="L336" s="14">
        <v>2.3584999999999998E-2</v>
      </c>
    </row>
    <row r="337" spans="1:12" x14ac:dyDescent="0.3">
      <c r="A337" s="61">
        <v>44211</v>
      </c>
      <c r="B337" s="14">
        <v>1.166E-2</v>
      </c>
      <c r="C337" s="14">
        <v>0.7702</v>
      </c>
      <c r="D337" s="14">
        <v>0.19006000000000001</v>
      </c>
      <c r="E337" s="14">
        <v>0.78375499999999998</v>
      </c>
      <c r="F337" s="14">
        <v>1.3500000000000001E-3</v>
      </c>
      <c r="G337" s="14">
        <v>1.2092499999999999</v>
      </c>
      <c r="H337" s="14">
        <v>1.3581000000000001</v>
      </c>
      <c r="I337" s="14">
        <v>5.0500000000000003E-2</v>
      </c>
      <c r="J337" s="14">
        <v>0.11687500000000001</v>
      </c>
      <c r="K337" s="14">
        <v>0.27688499999999999</v>
      </c>
      <c r="L337" s="14">
        <v>2.3609999999999999E-2</v>
      </c>
    </row>
    <row r="338" spans="1:12" x14ac:dyDescent="0.3">
      <c r="A338" s="61">
        <v>44212</v>
      </c>
      <c r="B338" s="14">
        <v>1.166E-2</v>
      </c>
      <c r="C338" s="14">
        <v>0.7702</v>
      </c>
      <c r="D338" s="14">
        <v>0.19006000000000001</v>
      </c>
      <c r="E338" s="14">
        <v>0.78375499999999998</v>
      </c>
      <c r="F338" s="14">
        <v>1.3500000000000001E-3</v>
      </c>
      <c r="G338" s="14">
        <v>1.2092499999999999</v>
      </c>
      <c r="H338" s="14">
        <v>1.3581000000000001</v>
      </c>
      <c r="I338" s="14">
        <v>5.0500000000000003E-2</v>
      </c>
      <c r="J338" s="14">
        <v>0.11687500000000001</v>
      </c>
      <c r="K338" s="14">
        <v>0.27688499999999999</v>
      </c>
      <c r="L338" s="14">
        <v>2.3609999999999999E-2</v>
      </c>
    </row>
    <row r="339" spans="1:12" x14ac:dyDescent="0.3">
      <c r="A339" s="61">
        <v>44213</v>
      </c>
      <c r="B339" s="14">
        <v>1.166E-2</v>
      </c>
      <c r="C339" s="14">
        <v>0.7702</v>
      </c>
      <c r="D339" s="14">
        <v>0.19006000000000001</v>
      </c>
      <c r="E339" s="14">
        <v>0.78375499999999998</v>
      </c>
      <c r="F339" s="14">
        <v>1.3500000000000001E-3</v>
      </c>
      <c r="G339" s="14">
        <v>1.2092499999999999</v>
      </c>
      <c r="H339" s="14">
        <v>1.3581000000000001</v>
      </c>
      <c r="I339" s="14">
        <v>5.0500000000000003E-2</v>
      </c>
      <c r="J339" s="14">
        <v>0.11687500000000001</v>
      </c>
      <c r="K339" s="14">
        <v>0.27688499999999999</v>
      </c>
      <c r="L339" s="14">
        <v>2.3609999999999999E-2</v>
      </c>
    </row>
    <row r="340" spans="1:12" x14ac:dyDescent="0.3">
      <c r="A340" s="61">
        <v>44214</v>
      </c>
      <c r="B340" s="14">
        <v>1.1610000000000001E-2</v>
      </c>
      <c r="C340" s="14">
        <v>0.76855000000000007</v>
      </c>
      <c r="D340" s="14">
        <v>0.18970999999999999</v>
      </c>
      <c r="E340" s="14">
        <v>0.78356999999999999</v>
      </c>
      <c r="F340" s="14">
        <v>1.3600000000000001E-3</v>
      </c>
      <c r="G340" s="14">
        <v>1.2075</v>
      </c>
      <c r="H340" s="14">
        <v>1.35755</v>
      </c>
      <c r="I340" s="14">
        <v>5.0705E-2</v>
      </c>
      <c r="J340" s="14">
        <v>0.11640499999999999</v>
      </c>
      <c r="K340" s="14">
        <v>0.27684999999999998</v>
      </c>
      <c r="L340" s="14">
        <v>2.3619999999999999E-2</v>
      </c>
    </row>
    <row r="341" spans="1:12" x14ac:dyDescent="0.3">
      <c r="A341" s="61">
        <v>44215</v>
      </c>
      <c r="B341" s="14">
        <v>1.1599999999999999E-2</v>
      </c>
      <c r="C341" s="14">
        <v>0.7702</v>
      </c>
      <c r="D341" s="14">
        <v>0.18944</v>
      </c>
      <c r="E341" s="14">
        <v>0.78517000000000003</v>
      </c>
      <c r="F341" s="14">
        <v>1.3550000000000001E-3</v>
      </c>
      <c r="G341" s="14">
        <v>1.21275</v>
      </c>
      <c r="H341" s="14">
        <v>1.3615999999999999</v>
      </c>
      <c r="I341" s="14">
        <v>5.0845000000000001E-2</v>
      </c>
      <c r="J341" s="14">
        <v>0.11713</v>
      </c>
      <c r="K341" s="14">
        <v>0.27677499999999999</v>
      </c>
      <c r="L341" s="14">
        <v>2.3625E-2</v>
      </c>
    </row>
    <row r="342" spans="1:12" x14ac:dyDescent="0.3">
      <c r="A342" s="61">
        <v>44216</v>
      </c>
      <c r="B342" s="14">
        <v>1.158E-2</v>
      </c>
      <c r="C342" s="14">
        <v>0.77434999999999998</v>
      </c>
      <c r="D342" s="14">
        <v>0.18887999999999999</v>
      </c>
      <c r="E342" s="14">
        <v>0.791825</v>
      </c>
      <c r="F342" s="14">
        <v>1.3699999999999999E-3</v>
      </c>
      <c r="G342" s="14">
        <v>1.2104999999999999</v>
      </c>
      <c r="H342" s="14">
        <v>1.3631500000000001</v>
      </c>
      <c r="I342" s="14">
        <v>5.1045E-2</v>
      </c>
      <c r="J342" s="14">
        <v>0.11761000000000001</v>
      </c>
      <c r="K342" s="14">
        <v>0.27677499999999999</v>
      </c>
      <c r="L342" s="14">
        <v>2.3699999999999999E-2</v>
      </c>
    </row>
    <row r="343" spans="1:12" x14ac:dyDescent="0.3">
      <c r="A343" s="61">
        <v>44217</v>
      </c>
      <c r="B343" s="14">
        <v>1.1560000000000001E-2</v>
      </c>
      <c r="C343" s="14">
        <v>0.77654999999999996</v>
      </c>
      <c r="D343" s="14">
        <v>0.18856999999999999</v>
      </c>
      <c r="E343" s="14">
        <v>0.79238500000000001</v>
      </c>
      <c r="F343" s="14">
        <v>1.39E-3</v>
      </c>
      <c r="G343" s="14">
        <v>1.21505</v>
      </c>
      <c r="H343" s="14">
        <v>1.3726</v>
      </c>
      <c r="I343" s="14">
        <v>5.0799999999999998E-2</v>
      </c>
      <c r="J343" s="14">
        <v>0.11890000000000001</v>
      </c>
      <c r="K343" s="14">
        <v>0.27673500000000001</v>
      </c>
      <c r="L343" s="14">
        <v>2.375E-2</v>
      </c>
    </row>
    <row r="344" spans="1:12" x14ac:dyDescent="0.3">
      <c r="A344" s="61">
        <v>44218</v>
      </c>
      <c r="B344" s="14">
        <v>1.155E-2</v>
      </c>
      <c r="C344" s="14">
        <v>0.77210000000000001</v>
      </c>
      <c r="D344" s="14">
        <v>0.18809999999999999</v>
      </c>
      <c r="E344" s="14">
        <v>0.78634500000000007</v>
      </c>
      <c r="F344" s="14">
        <v>1.3699999999999999E-3</v>
      </c>
      <c r="G344" s="14">
        <v>1.2172499999999999</v>
      </c>
      <c r="H344" s="14">
        <v>1.3671500000000001</v>
      </c>
      <c r="I344" s="14">
        <v>5.0014999999999997E-2</v>
      </c>
      <c r="J344" s="14">
        <v>0.117655</v>
      </c>
      <c r="K344" s="14">
        <v>0.27623999999999999</v>
      </c>
      <c r="L344" s="14">
        <v>2.3715E-2</v>
      </c>
    </row>
    <row r="345" spans="1:12" x14ac:dyDescent="0.3">
      <c r="A345" s="61">
        <v>44219</v>
      </c>
      <c r="B345" s="14">
        <v>1.155E-2</v>
      </c>
      <c r="C345" s="14">
        <v>0.77210000000000001</v>
      </c>
      <c r="D345" s="14">
        <v>0.18809999999999999</v>
      </c>
      <c r="E345" s="14">
        <v>0.78634500000000007</v>
      </c>
      <c r="F345" s="14">
        <v>1.3699999999999999E-3</v>
      </c>
      <c r="G345" s="14">
        <v>1.2172499999999999</v>
      </c>
      <c r="H345" s="14">
        <v>1.3671500000000001</v>
      </c>
      <c r="I345" s="14">
        <v>5.0014999999999997E-2</v>
      </c>
      <c r="J345" s="14">
        <v>0.117655</v>
      </c>
      <c r="K345" s="14">
        <v>0.27623999999999999</v>
      </c>
      <c r="L345" s="14">
        <v>2.3715E-2</v>
      </c>
    </row>
    <row r="346" spans="1:12" x14ac:dyDescent="0.3">
      <c r="A346" s="61">
        <v>44220</v>
      </c>
      <c r="B346" s="14">
        <v>1.155E-2</v>
      </c>
      <c r="C346" s="14">
        <v>0.77210000000000001</v>
      </c>
      <c r="D346" s="14">
        <v>0.18809999999999999</v>
      </c>
      <c r="E346" s="14">
        <v>0.78634500000000007</v>
      </c>
      <c r="F346" s="14">
        <v>1.3699999999999999E-3</v>
      </c>
      <c r="G346" s="14">
        <v>1.2172499999999999</v>
      </c>
      <c r="H346" s="14">
        <v>1.3671500000000001</v>
      </c>
      <c r="I346" s="14">
        <v>5.0014999999999997E-2</v>
      </c>
      <c r="J346" s="14">
        <v>0.117655</v>
      </c>
      <c r="K346" s="14">
        <v>0.27623999999999999</v>
      </c>
      <c r="L346" s="14">
        <v>2.3715E-2</v>
      </c>
    </row>
    <row r="347" spans="1:12" x14ac:dyDescent="0.3">
      <c r="A347" s="61">
        <v>44221</v>
      </c>
      <c r="B347" s="14">
        <v>1.15E-2</v>
      </c>
      <c r="C347" s="14">
        <v>0.77055000000000007</v>
      </c>
      <c r="D347" s="14">
        <v>0.18415999999999999</v>
      </c>
      <c r="E347" s="14">
        <v>0.78449499999999994</v>
      </c>
      <c r="F347" s="14">
        <v>1.3600000000000001E-3</v>
      </c>
      <c r="G347" s="14">
        <v>1.2130000000000001</v>
      </c>
      <c r="H347" s="14">
        <v>1.3671</v>
      </c>
      <c r="I347" s="14">
        <v>4.9535000000000003E-2</v>
      </c>
      <c r="J347" s="14">
        <v>0.11665499999999999</v>
      </c>
      <c r="K347" s="14">
        <v>0.27535999999999999</v>
      </c>
      <c r="L347" s="14">
        <v>2.3715E-2</v>
      </c>
    </row>
    <row r="348" spans="1:12" x14ac:dyDescent="0.3">
      <c r="A348" s="61">
        <v>44222</v>
      </c>
      <c r="B348" s="14">
        <v>1.1485E-2</v>
      </c>
      <c r="C348" s="14">
        <v>0.77465000000000006</v>
      </c>
      <c r="D348" s="14">
        <v>0.18154500000000001</v>
      </c>
      <c r="E348" s="14">
        <v>0.78702500000000009</v>
      </c>
      <c r="F348" s="14">
        <v>1.3600000000000001E-3</v>
      </c>
      <c r="G348" s="14">
        <v>1.21665</v>
      </c>
      <c r="H348" s="14">
        <v>1.3742000000000001</v>
      </c>
      <c r="I348" s="14">
        <v>4.9945000000000003E-2</v>
      </c>
      <c r="J348" s="14">
        <v>0.1172</v>
      </c>
      <c r="K348" s="14">
        <v>0.27449000000000001</v>
      </c>
      <c r="L348" s="14">
        <v>2.3779999999999999E-2</v>
      </c>
    </row>
    <row r="349" spans="1:12" x14ac:dyDescent="0.3">
      <c r="A349" s="61">
        <v>44223</v>
      </c>
      <c r="B349" s="14">
        <v>1.1469999999999999E-2</v>
      </c>
      <c r="C349" s="14">
        <v>0.76859999999999995</v>
      </c>
      <c r="D349" s="14">
        <v>0.18565000000000001</v>
      </c>
      <c r="E349" s="14">
        <v>0.782775</v>
      </c>
      <c r="F349" s="14">
        <v>1.3500000000000001E-3</v>
      </c>
      <c r="G349" s="14">
        <v>1.2091000000000001</v>
      </c>
      <c r="H349" s="14">
        <v>1.3703000000000001</v>
      </c>
      <c r="I349" s="14">
        <v>4.9544999999999999E-2</v>
      </c>
      <c r="J349" s="14">
        <v>0.11584</v>
      </c>
      <c r="K349" s="14">
        <v>0.27433999999999997</v>
      </c>
      <c r="L349" s="14">
        <v>2.3779999999999999E-2</v>
      </c>
    </row>
    <row r="350" spans="1:12" x14ac:dyDescent="0.3">
      <c r="A350" s="61">
        <v>44224</v>
      </c>
      <c r="B350" s="14">
        <v>1.146E-2</v>
      </c>
      <c r="C350" s="14">
        <v>0.76695000000000002</v>
      </c>
      <c r="D350" s="14">
        <v>0.18579999999999999</v>
      </c>
      <c r="E350" s="14">
        <v>0.78093999999999997</v>
      </c>
      <c r="F350" s="14">
        <v>1.34E-3</v>
      </c>
      <c r="G350" s="14">
        <v>1.21225</v>
      </c>
      <c r="H350" s="14">
        <v>1.3720000000000001</v>
      </c>
      <c r="I350" s="14">
        <v>4.9160000000000002E-2</v>
      </c>
      <c r="J350" s="14">
        <v>0.11601499999999999</v>
      </c>
      <c r="K350" s="14">
        <v>0.27381499999999998</v>
      </c>
      <c r="L350" s="14">
        <v>2.376E-2</v>
      </c>
    </row>
    <row r="351" spans="1:12" x14ac:dyDescent="0.3">
      <c r="A351" s="61">
        <v>44225</v>
      </c>
      <c r="B351" s="14">
        <v>1.1455E-2</v>
      </c>
      <c r="C351" s="14">
        <v>0.76724999999999999</v>
      </c>
      <c r="D351" s="14">
        <v>0.18423</v>
      </c>
      <c r="E351" s="14">
        <v>0.78280499999999997</v>
      </c>
      <c r="F351" s="14">
        <v>1.3600000000000001E-3</v>
      </c>
      <c r="G351" s="14">
        <v>1.2149000000000001</v>
      </c>
      <c r="H351" s="14">
        <v>1.3732</v>
      </c>
      <c r="I351" s="14">
        <v>4.9439999999999998E-2</v>
      </c>
      <c r="J351" s="14">
        <v>0.11691500000000001</v>
      </c>
      <c r="K351" s="14">
        <v>0.27430500000000002</v>
      </c>
      <c r="L351" s="14">
        <v>2.3625E-2</v>
      </c>
    </row>
    <row r="352" spans="1:12" x14ac:dyDescent="0.3">
      <c r="A352" s="61">
        <v>44226</v>
      </c>
      <c r="B352" s="14">
        <v>1.1455E-2</v>
      </c>
      <c r="C352" s="14">
        <v>0.76724999999999999</v>
      </c>
      <c r="D352" s="14">
        <v>0.18423</v>
      </c>
      <c r="E352" s="14">
        <v>0.78280499999999997</v>
      </c>
      <c r="F352" s="14">
        <v>1.3600000000000001E-3</v>
      </c>
      <c r="G352" s="14">
        <v>1.2149000000000001</v>
      </c>
      <c r="H352" s="14">
        <v>1.3732</v>
      </c>
      <c r="I352" s="14">
        <v>4.9439999999999998E-2</v>
      </c>
      <c r="J352" s="14">
        <v>0.11691500000000001</v>
      </c>
      <c r="K352" s="14">
        <v>0.27430500000000002</v>
      </c>
      <c r="L352" s="14">
        <v>2.3625E-2</v>
      </c>
    </row>
    <row r="353" spans="1:12" x14ac:dyDescent="0.3">
      <c r="A353" s="61">
        <v>44227</v>
      </c>
      <c r="B353" s="14">
        <v>1.1455E-2</v>
      </c>
      <c r="C353" s="14">
        <v>0.76724999999999999</v>
      </c>
      <c r="D353" s="14">
        <v>0.18423</v>
      </c>
      <c r="E353" s="14">
        <v>0.78280499999999997</v>
      </c>
      <c r="F353" s="14">
        <v>1.3600000000000001E-3</v>
      </c>
      <c r="G353" s="14">
        <v>1.2149000000000001</v>
      </c>
      <c r="H353" s="14">
        <v>1.3732</v>
      </c>
      <c r="I353" s="14">
        <v>4.9439999999999998E-2</v>
      </c>
      <c r="J353" s="14">
        <v>0.11691500000000001</v>
      </c>
      <c r="K353" s="14">
        <v>0.27430500000000002</v>
      </c>
      <c r="L353" s="14">
        <v>2.3625E-2</v>
      </c>
    </row>
    <row r="354" spans="1:12" x14ac:dyDescent="0.3">
      <c r="A354" s="61">
        <v>44228</v>
      </c>
      <c r="B354" s="14">
        <v>1.141E-2</v>
      </c>
      <c r="C354" s="14">
        <v>0.76175000000000004</v>
      </c>
      <c r="D354" s="14">
        <v>0.18262</v>
      </c>
      <c r="E354" s="14">
        <v>0.77905500000000005</v>
      </c>
      <c r="F354" s="14">
        <v>1.3500000000000001E-3</v>
      </c>
      <c r="G354" s="14">
        <v>1.20825</v>
      </c>
      <c r="H354" s="14">
        <v>1.36625</v>
      </c>
      <c r="I354" s="14">
        <v>4.8829999999999998E-2</v>
      </c>
      <c r="J354" s="14">
        <v>0.116145</v>
      </c>
      <c r="K354" s="14">
        <v>0.27479500000000001</v>
      </c>
      <c r="L354" s="14">
        <v>2.3625E-2</v>
      </c>
    </row>
    <row r="355" spans="1:12" x14ac:dyDescent="0.3">
      <c r="A355" s="61">
        <v>44229</v>
      </c>
      <c r="B355" s="14">
        <v>1.14E-2</v>
      </c>
      <c r="C355" s="14">
        <v>0.75790000000000002</v>
      </c>
      <c r="D355" s="14">
        <v>0.18312999999999999</v>
      </c>
      <c r="E355" s="14">
        <v>0.77936000000000005</v>
      </c>
      <c r="F355" s="14">
        <v>1.3600000000000001E-3</v>
      </c>
      <c r="G355" s="14">
        <v>1.20285</v>
      </c>
      <c r="H355" s="14">
        <v>1.3628499999999999</v>
      </c>
      <c r="I355" s="14">
        <v>4.9544999999999999E-2</v>
      </c>
      <c r="J355" s="14">
        <v>0.115925</v>
      </c>
      <c r="K355" s="14">
        <v>0.27483000000000002</v>
      </c>
      <c r="L355" s="14">
        <v>2.3630000000000002E-2</v>
      </c>
    </row>
    <row r="356" spans="1:12" x14ac:dyDescent="0.3">
      <c r="A356" s="61">
        <v>44230</v>
      </c>
      <c r="B356" s="14">
        <v>1.1379999999999999E-2</v>
      </c>
      <c r="C356" s="14">
        <v>0.76154999999999995</v>
      </c>
      <c r="D356" s="14">
        <v>0.18562000000000001</v>
      </c>
      <c r="E356" s="14">
        <v>0.78203999999999996</v>
      </c>
      <c r="F356" s="14">
        <v>1.3600000000000001E-3</v>
      </c>
      <c r="G356" s="14">
        <v>1.2012499999999999</v>
      </c>
      <c r="H356" s="14">
        <v>1.3645</v>
      </c>
      <c r="I356" s="14">
        <v>4.9449999999999987E-2</v>
      </c>
      <c r="J356" s="14">
        <v>0.11624</v>
      </c>
      <c r="K356" s="14">
        <v>0.27479500000000001</v>
      </c>
      <c r="L356" s="14">
        <v>2.358E-2</v>
      </c>
    </row>
    <row r="357" spans="1:12" x14ac:dyDescent="0.3">
      <c r="A357" s="61">
        <v>44231</v>
      </c>
      <c r="B357" s="14">
        <v>1.137E-2</v>
      </c>
      <c r="C357" s="14">
        <v>0.75985000000000003</v>
      </c>
      <c r="D357" s="14">
        <v>0.18719</v>
      </c>
      <c r="E357" s="14">
        <v>0.77895999999999999</v>
      </c>
      <c r="F357" s="14">
        <v>1.3500000000000001E-3</v>
      </c>
      <c r="G357" s="14">
        <v>1.1978500000000001</v>
      </c>
      <c r="H357" s="14">
        <v>1.3656999999999999</v>
      </c>
      <c r="I357" s="14">
        <v>4.8845E-2</v>
      </c>
      <c r="J357" s="14">
        <v>0.115685</v>
      </c>
      <c r="K357" s="14">
        <v>0.27490999999999999</v>
      </c>
      <c r="L357" s="14">
        <v>2.3439999999999999E-2</v>
      </c>
    </row>
    <row r="358" spans="1:12" x14ac:dyDescent="0.3">
      <c r="A358" s="61">
        <v>44232</v>
      </c>
      <c r="B358" s="14">
        <v>1.136E-2</v>
      </c>
      <c r="C358" s="14">
        <v>0.76585000000000003</v>
      </c>
      <c r="D358" s="14">
        <v>0.1855</v>
      </c>
      <c r="E358" s="14">
        <v>0.78289500000000001</v>
      </c>
      <c r="F358" s="14">
        <v>1.3500000000000001E-3</v>
      </c>
      <c r="G358" s="14">
        <v>1.20255</v>
      </c>
      <c r="H358" s="14">
        <v>1.3725499999999999</v>
      </c>
      <c r="I358" s="14">
        <v>4.9674999999999997E-2</v>
      </c>
      <c r="J358" s="14">
        <v>0.11706</v>
      </c>
      <c r="K358" s="14">
        <v>0.27438000000000001</v>
      </c>
      <c r="L358" s="14">
        <v>2.3465E-2</v>
      </c>
    </row>
    <row r="359" spans="1:12" x14ac:dyDescent="0.3">
      <c r="A359" s="61">
        <v>44233</v>
      </c>
      <c r="B359" s="14">
        <v>1.136E-2</v>
      </c>
      <c r="C359" s="14">
        <v>0.76585000000000003</v>
      </c>
      <c r="D359" s="14">
        <v>0.1855</v>
      </c>
      <c r="E359" s="14">
        <v>0.78289500000000001</v>
      </c>
      <c r="F359" s="14">
        <v>1.3500000000000001E-3</v>
      </c>
      <c r="G359" s="14">
        <v>1.20255</v>
      </c>
      <c r="H359" s="14">
        <v>1.3725499999999999</v>
      </c>
      <c r="I359" s="14">
        <v>4.9674999999999997E-2</v>
      </c>
      <c r="J359" s="14">
        <v>0.11706</v>
      </c>
      <c r="K359" s="14">
        <v>0.27438000000000001</v>
      </c>
      <c r="L359" s="14">
        <v>2.3465E-2</v>
      </c>
    </row>
    <row r="360" spans="1:12" x14ac:dyDescent="0.3">
      <c r="A360" s="61">
        <v>44234</v>
      </c>
      <c r="B360" s="14">
        <v>1.136E-2</v>
      </c>
      <c r="C360" s="14">
        <v>0.76585000000000003</v>
      </c>
      <c r="D360" s="14">
        <v>0.1855</v>
      </c>
      <c r="E360" s="14">
        <v>0.78289500000000001</v>
      </c>
      <c r="F360" s="14">
        <v>1.3500000000000001E-3</v>
      </c>
      <c r="G360" s="14">
        <v>1.20255</v>
      </c>
      <c r="H360" s="14">
        <v>1.3725499999999999</v>
      </c>
      <c r="I360" s="14">
        <v>4.9674999999999997E-2</v>
      </c>
      <c r="J360" s="14">
        <v>0.11706</v>
      </c>
      <c r="K360" s="14">
        <v>0.27438000000000001</v>
      </c>
      <c r="L360" s="14">
        <v>2.3465E-2</v>
      </c>
    </row>
    <row r="361" spans="1:12" x14ac:dyDescent="0.3">
      <c r="A361" s="61">
        <v>44235</v>
      </c>
      <c r="B361" s="14">
        <v>1.1339999999999999E-2</v>
      </c>
      <c r="C361" s="14">
        <v>0.77105000000000001</v>
      </c>
      <c r="D361" s="14">
        <v>0.18559</v>
      </c>
      <c r="E361" s="14">
        <v>0.784215</v>
      </c>
      <c r="F361" s="14">
        <v>1.3600000000000001E-3</v>
      </c>
      <c r="G361" s="14">
        <v>1.20475</v>
      </c>
      <c r="H361" s="14">
        <v>1.37425</v>
      </c>
      <c r="I361" s="14">
        <v>4.9769999999999988E-2</v>
      </c>
      <c r="J361" s="14">
        <v>0.11759500000000001</v>
      </c>
      <c r="K361" s="14">
        <v>0.27487</v>
      </c>
      <c r="L361" s="14">
        <v>2.3505000000000002E-2</v>
      </c>
    </row>
    <row r="362" spans="1:12" x14ac:dyDescent="0.3">
      <c r="A362" s="61">
        <v>44236</v>
      </c>
      <c r="B362" s="14">
        <v>1.132E-2</v>
      </c>
      <c r="C362" s="14">
        <v>0.77255000000000007</v>
      </c>
      <c r="D362" s="14">
        <v>0.18633</v>
      </c>
      <c r="E362" s="14">
        <v>0.78609499999999999</v>
      </c>
      <c r="F362" s="14">
        <v>1.3600000000000001E-3</v>
      </c>
      <c r="G362" s="14">
        <v>1.2097500000000001</v>
      </c>
      <c r="H362" s="14">
        <v>1.3795999999999999</v>
      </c>
      <c r="I362" s="14">
        <v>4.9799999999999997E-2</v>
      </c>
      <c r="J362" s="14">
        <v>0.11794</v>
      </c>
      <c r="K362" s="14">
        <v>0.27461000000000002</v>
      </c>
      <c r="L362" s="14">
        <v>2.3505000000000002E-2</v>
      </c>
    </row>
    <row r="363" spans="1:12" x14ac:dyDescent="0.3">
      <c r="A363" s="61">
        <v>44237</v>
      </c>
      <c r="B363" s="14">
        <v>1.1310000000000001E-2</v>
      </c>
      <c r="C363" s="14">
        <v>0.77334999999999998</v>
      </c>
      <c r="D363" s="14">
        <v>0.18445</v>
      </c>
      <c r="E363" s="14">
        <v>0.78832499999999994</v>
      </c>
      <c r="F363" s="14">
        <v>1.3699999999999999E-3</v>
      </c>
      <c r="G363" s="14">
        <v>1.21305</v>
      </c>
      <c r="H363" s="14">
        <v>1.3845000000000001</v>
      </c>
      <c r="I363" s="14">
        <v>4.9915000000000001E-2</v>
      </c>
      <c r="J363" s="14">
        <v>0.11848</v>
      </c>
      <c r="K363" s="14">
        <v>0.27449000000000001</v>
      </c>
      <c r="L363" s="14">
        <v>2.3400000000000001E-2</v>
      </c>
    </row>
    <row r="364" spans="1:12" x14ac:dyDescent="0.3">
      <c r="A364" s="61">
        <v>44238</v>
      </c>
      <c r="B364" s="14">
        <v>1.1299999999999999E-2</v>
      </c>
      <c r="C364" s="14">
        <v>0.77615000000000001</v>
      </c>
      <c r="D364" s="14">
        <v>0.18511</v>
      </c>
      <c r="E364" s="14">
        <v>0.78839000000000004</v>
      </c>
      <c r="F364" s="14">
        <v>1.3799999999999999E-3</v>
      </c>
      <c r="G364" s="14">
        <v>1.2132000000000001</v>
      </c>
      <c r="H364" s="14">
        <v>1.3819999999999999</v>
      </c>
      <c r="I364" s="14">
        <v>5.0160000000000003E-2</v>
      </c>
      <c r="J364" s="14">
        <v>0.11824999999999999</v>
      </c>
      <c r="K364" s="14">
        <v>0.27490999999999999</v>
      </c>
      <c r="L364" s="14">
        <v>2.3435000000000001E-2</v>
      </c>
    </row>
    <row r="365" spans="1:12" x14ac:dyDescent="0.3">
      <c r="A365" s="61">
        <v>44239</v>
      </c>
      <c r="B365" s="14">
        <v>1.129E-2</v>
      </c>
      <c r="C365" s="14">
        <v>0.77505000000000002</v>
      </c>
      <c r="D365" s="14">
        <v>0.18648000000000001</v>
      </c>
      <c r="E365" s="14">
        <v>0.78702500000000009</v>
      </c>
      <c r="F365" s="14">
        <v>1.3799999999999999E-3</v>
      </c>
      <c r="G365" s="14">
        <v>1.2118500000000001</v>
      </c>
      <c r="H365" s="14">
        <v>1.3848499999999999</v>
      </c>
      <c r="I365" s="14">
        <v>5.0025E-2</v>
      </c>
      <c r="J365" s="14">
        <v>0.11805499999999999</v>
      </c>
      <c r="K365" s="14">
        <v>0.27487</v>
      </c>
      <c r="L365" s="14">
        <v>2.3474999999999999E-2</v>
      </c>
    </row>
    <row r="366" spans="1:12" x14ac:dyDescent="0.3">
      <c r="A366" s="61">
        <v>44240</v>
      </c>
      <c r="B366" s="14">
        <v>1.129E-2</v>
      </c>
      <c r="C366" s="14">
        <v>0.77505000000000002</v>
      </c>
      <c r="D366" s="14">
        <v>0.18648000000000001</v>
      </c>
      <c r="E366" s="14">
        <v>0.78702500000000009</v>
      </c>
      <c r="F366" s="14">
        <v>1.3799999999999999E-3</v>
      </c>
      <c r="G366" s="14">
        <v>1.2118500000000001</v>
      </c>
      <c r="H366" s="14">
        <v>1.3848499999999999</v>
      </c>
      <c r="I366" s="14">
        <v>5.0025E-2</v>
      </c>
      <c r="J366" s="14">
        <v>0.11805499999999999</v>
      </c>
      <c r="K366" s="14">
        <v>0.27487</v>
      </c>
      <c r="L366" s="14">
        <v>2.3474999999999999E-2</v>
      </c>
    </row>
    <row r="367" spans="1:12" x14ac:dyDescent="0.3">
      <c r="A367" s="61">
        <v>44241</v>
      </c>
      <c r="B367" s="14">
        <v>1.129E-2</v>
      </c>
      <c r="C367" s="14">
        <v>0.77505000000000002</v>
      </c>
      <c r="D367" s="14">
        <v>0.18648000000000001</v>
      </c>
      <c r="E367" s="14">
        <v>0.78702500000000009</v>
      </c>
      <c r="F367" s="14">
        <v>1.3799999999999999E-3</v>
      </c>
      <c r="G367" s="14">
        <v>1.2118500000000001</v>
      </c>
      <c r="H367" s="14">
        <v>1.3848499999999999</v>
      </c>
      <c r="I367" s="14">
        <v>5.0025E-2</v>
      </c>
      <c r="J367" s="14">
        <v>0.11805499999999999</v>
      </c>
      <c r="K367" s="14">
        <v>0.27487</v>
      </c>
      <c r="L367" s="14">
        <v>2.3474999999999999E-2</v>
      </c>
    </row>
    <row r="368" spans="1:12" x14ac:dyDescent="0.3">
      <c r="A368" s="61">
        <v>44242</v>
      </c>
      <c r="B368" s="14">
        <v>1.1299999999999999E-2</v>
      </c>
      <c r="C368" s="14">
        <v>0.77825</v>
      </c>
      <c r="D368" s="14">
        <v>0.18583</v>
      </c>
      <c r="E368" s="14">
        <v>0.79085500000000009</v>
      </c>
      <c r="F368" s="14">
        <v>1.3799999999999999E-3</v>
      </c>
      <c r="G368" s="14">
        <v>1.2132000000000001</v>
      </c>
      <c r="H368" s="14">
        <v>1.3911500000000001</v>
      </c>
      <c r="I368" s="14">
        <v>5.0119999999999998E-2</v>
      </c>
      <c r="J368" s="14">
        <v>0.11927</v>
      </c>
      <c r="K368" s="14">
        <v>0.27442</v>
      </c>
      <c r="L368" s="14">
        <v>2.3439999999999999E-2</v>
      </c>
    </row>
    <row r="369" spans="1:12" x14ac:dyDescent="0.3">
      <c r="A369" s="61"/>
      <c r="B369" s="14">
        <v>1.3669318801089909E-2</v>
      </c>
      <c r="C369" s="14">
        <v>0.70171171662125298</v>
      </c>
      <c r="D369" s="14">
        <v>0.18964876021798391</v>
      </c>
      <c r="E369" s="14">
        <v>0.74922013623978279</v>
      </c>
      <c r="F369" s="14">
        <v>1.27257493188011E-3</v>
      </c>
      <c r="G369" s="14">
        <v>1.154832288828338</v>
      </c>
      <c r="H369" s="14">
        <v>1.291534604904633</v>
      </c>
      <c r="I369" s="14">
        <v>4.6447629427792902E-2</v>
      </c>
      <c r="J369" s="14">
        <v>0.1074133106267029</v>
      </c>
      <c r="K369" s="14">
        <v>0.28354728142076469</v>
      </c>
      <c r="L369" s="14">
        <v>2.345934604904628E-2</v>
      </c>
    </row>
    <row r="371" spans="1:12" x14ac:dyDescent="0.3">
      <c r="C371" s="59"/>
      <c r="D371" s="59"/>
      <c r="E371" s="59"/>
      <c r="F371" s="59"/>
      <c r="G371" s="59"/>
      <c r="H371" s="59"/>
      <c r="I371" s="59"/>
      <c r="J371" s="59"/>
      <c r="K371" s="59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AC3BF-9F22-46FD-93EF-E36CD7B08881}">
  <sheetPr codeName="Sheet4"/>
  <dimension ref="A1:G96"/>
  <sheetViews>
    <sheetView workbookViewId="0">
      <selection activeCell="B9" sqref="B9"/>
    </sheetView>
  </sheetViews>
  <sheetFormatPr defaultRowHeight="14.4" x14ac:dyDescent="0.3"/>
  <cols>
    <col min="1" max="1" width="46.44140625" customWidth="1"/>
    <col min="2" max="2" width="26.21875" customWidth="1"/>
  </cols>
  <sheetData>
    <row r="1" spans="1:2" s="62" customFormat="1" x14ac:dyDescent="0.3">
      <c r="A1" s="98" t="s">
        <v>51</v>
      </c>
      <c r="B1" s="98" t="s">
        <v>137</v>
      </c>
    </row>
    <row r="2" spans="1:2" s="62" customFormat="1" x14ac:dyDescent="0.3">
      <c r="A2" s="93" t="s">
        <v>71</v>
      </c>
      <c r="B2" s="94">
        <f>250*60</f>
        <v>15000</v>
      </c>
    </row>
    <row r="3" spans="1:2" s="62" customFormat="1" x14ac:dyDescent="0.3">
      <c r="A3" s="93" t="s">
        <v>71</v>
      </c>
      <c r="B3" s="94">
        <f>500*60</f>
        <v>30000</v>
      </c>
    </row>
    <row r="4" spans="1:2" s="62" customFormat="1" x14ac:dyDescent="0.3">
      <c r="A4" s="93" t="s">
        <v>72</v>
      </c>
      <c r="B4" s="94">
        <f>60*120</f>
        <v>7200</v>
      </c>
    </row>
    <row r="5" spans="1:2" x14ac:dyDescent="0.3">
      <c r="A5" s="93" t="s">
        <v>73</v>
      </c>
      <c r="B5" s="94">
        <v>100</v>
      </c>
    </row>
    <row r="6" spans="1:2" x14ac:dyDescent="0.3">
      <c r="A6" s="93" t="s">
        <v>69</v>
      </c>
      <c r="B6" s="94">
        <v>3.5</v>
      </c>
    </row>
    <row r="7" spans="1:2" x14ac:dyDescent="0.3">
      <c r="A7" s="93" t="s">
        <v>74</v>
      </c>
      <c r="B7" s="94">
        <f>125*56</f>
        <v>7000</v>
      </c>
    </row>
    <row r="8" spans="1:2" x14ac:dyDescent="0.3">
      <c r="A8" s="93" t="s">
        <v>145</v>
      </c>
      <c r="B8" s="94">
        <f>210*2</f>
        <v>420</v>
      </c>
    </row>
    <row r="9" spans="1:2" s="62" customFormat="1" x14ac:dyDescent="0.3">
      <c r="A9" s="93" t="s">
        <v>147</v>
      </c>
      <c r="B9" s="94">
        <f>100*60</f>
        <v>6000</v>
      </c>
    </row>
    <row r="10" spans="1:2" x14ac:dyDescent="0.3">
      <c r="A10" s="93" t="s">
        <v>75</v>
      </c>
      <c r="B10" s="94">
        <f>100*30</f>
        <v>3000</v>
      </c>
    </row>
    <row r="11" spans="1:2" s="62" customFormat="1" x14ac:dyDescent="0.3">
      <c r="A11" s="93" t="s">
        <v>75</v>
      </c>
      <c r="B11" s="94">
        <f>300*30</f>
        <v>9000</v>
      </c>
    </row>
    <row r="12" spans="1:2" x14ac:dyDescent="0.3">
      <c r="A12" s="93" t="s">
        <v>76</v>
      </c>
      <c r="B12" s="94">
        <f>850*60</f>
        <v>51000</v>
      </c>
    </row>
    <row r="13" spans="1:2" x14ac:dyDescent="0.3">
      <c r="A13" s="93" t="s">
        <v>77</v>
      </c>
      <c r="B13" s="94"/>
    </row>
    <row r="14" spans="1:2" x14ac:dyDescent="0.3">
      <c r="A14" s="93" t="s">
        <v>78</v>
      </c>
      <c r="B14" s="94"/>
    </row>
    <row r="15" spans="1:2" x14ac:dyDescent="0.3">
      <c r="A15" s="93" t="s">
        <v>79</v>
      </c>
      <c r="B15" s="94">
        <f>25*100</f>
        <v>2500</v>
      </c>
    </row>
    <row r="16" spans="1:2" x14ac:dyDescent="0.3">
      <c r="A16" s="93" t="s">
        <v>80</v>
      </c>
      <c r="B16" s="94">
        <v>400</v>
      </c>
    </row>
    <row r="17" spans="1:2" s="62" customFormat="1" x14ac:dyDescent="0.3">
      <c r="A17" s="93" t="s">
        <v>80</v>
      </c>
      <c r="B17" s="94">
        <v>100</v>
      </c>
    </row>
    <row r="18" spans="1:2" x14ac:dyDescent="0.3">
      <c r="A18" s="93" t="s">
        <v>138</v>
      </c>
      <c r="B18" s="94">
        <f>120*300</f>
        <v>36000</v>
      </c>
    </row>
    <row r="19" spans="1:2" x14ac:dyDescent="0.3">
      <c r="A19" s="93" t="s">
        <v>81</v>
      </c>
      <c r="B19" s="94"/>
    </row>
    <row r="20" spans="1:2" x14ac:dyDescent="0.3">
      <c r="A20" s="93" t="s">
        <v>82</v>
      </c>
      <c r="B20" s="94"/>
    </row>
    <row r="21" spans="1:2" x14ac:dyDescent="0.3">
      <c r="A21" s="93" t="s">
        <v>83</v>
      </c>
      <c r="B21" s="94">
        <f>600*60</f>
        <v>36000</v>
      </c>
    </row>
    <row r="22" spans="1:2" x14ac:dyDescent="0.3">
      <c r="A22" s="93" t="s">
        <v>84</v>
      </c>
      <c r="B22" s="94">
        <f>800*30</f>
        <v>24000</v>
      </c>
    </row>
    <row r="23" spans="1:2" x14ac:dyDescent="0.3">
      <c r="A23" s="93" t="s">
        <v>85</v>
      </c>
      <c r="B23" s="94"/>
    </row>
    <row r="24" spans="1:2" x14ac:dyDescent="0.3">
      <c r="A24" s="93" t="s">
        <v>86</v>
      </c>
      <c r="B24" s="94"/>
    </row>
    <row r="25" spans="1:2" x14ac:dyDescent="0.3">
      <c r="A25" s="93" t="s">
        <v>87</v>
      </c>
      <c r="B25" s="94"/>
    </row>
    <row r="26" spans="1:2" s="62" customFormat="1" x14ac:dyDescent="0.3">
      <c r="A26" s="93" t="s">
        <v>88</v>
      </c>
      <c r="B26" s="94"/>
    </row>
    <row r="27" spans="1:2" s="62" customFormat="1" x14ac:dyDescent="0.3">
      <c r="A27" s="93" t="s">
        <v>135</v>
      </c>
      <c r="B27" s="94">
        <f>120*40</f>
        <v>4800</v>
      </c>
    </row>
    <row r="28" spans="1:2" x14ac:dyDescent="0.3">
      <c r="A28" s="93" t="s">
        <v>89</v>
      </c>
      <c r="B28" s="94"/>
    </row>
    <row r="29" spans="1:2" x14ac:dyDescent="0.3">
      <c r="A29" s="93" t="s">
        <v>90</v>
      </c>
      <c r="B29" s="94"/>
    </row>
    <row r="30" spans="1:2" x14ac:dyDescent="0.3">
      <c r="A30" s="93" t="s">
        <v>91</v>
      </c>
      <c r="B30" s="94">
        <v>28</v>
      </c>
    </row>
    <row r="31" spans="1:2" x14ac:dyDescent="0.3">
      <c r="A31" s="93" t="s">
        <v>92</v>
      </c>
      <c r="B31" s="94"/>
    </row>
    <row r="32" spans="1:2" x14ac:dyDescent="0.3">
      <c r="A32" s="93" t="s">
        <v>93</v>
      </c>
      <c r="B32" s="94"/>
    </row>
    <row r="33" spans="1:2" x14ac:dyDescent="0.3">
      <c r="A33" s="93" t="s">
        <v>94</v>
      </c>
      <c r="B33" s="94"/>
    </row>
    <row r="34" spans="1:2" x14ac:dyDescent="0.3">
      <c r="A34" s="93" t="s">
        <v>95</v>
      </c>
      <c r="B34" s="94"/>
    </row>
    <row r="35" spans="1:2" x14ac:dyDescent="0.3">
      <c r="A35" s="93" t="s">
        <v>96</v>
      </c>
      <c r="B35" s="94"/>
    </row>
    <row r="36" spans="1:2" x14ac:dyDescent="0.3">
      <c r="A36" s="93" t="s">
        <v>97</v>
      </c>
      <c r="B36" s="94"/>
    </row>
    <row r="37" spans="1:2" x14ac:dyDescent="0.3">
      <c r="A37" s="93" t="s">
        <v>98</v>
      </c>
      <c r="B37" s="94"/>
    </row>
    <row r="38" spans="1:2" x14ac:dyDescent="0.3">
      <c r="A38" s="93" t="s">
        <v>99</v>
      </c>
      <c r="B38" s="94"/>
    </row>
    <row r="39" spans="1:2" x14ac:dyDescent="0.3">
      <c r="A39" s="93" t="s">
        <v>100</v>
      </c>
      <c r="B39" s="94"/>
    </row>
    <row r="40" spans="1:2" x14ac:dyDescent="0.3">
      <c r="A40" s="93" t="s">
        <v>101</v>
      </c>
      <c r="B40" s="94"/>
    </row>
    <row r="41" spans="1:2" x14ac:dyDescent="0.3">
      <c r="A41" s="93" t="s">
        <v>102</v>
      </c>
      <c r="B41" s="94"/>
    </row>
    <row r="42" spans="1:2" x14ac:dyDescent="0.3">
      <c r="A42" s="93" t="s">
        <v>103</v>
      </c>
      <c r="B42" s="94">
        <v>50</v>
      </c>
    </row>
    <row r="43" spans="1:2" x14ac:dyDescent="0.3">
      <c r="A43" s="93" t="s">
        <v>104</v>
      </c>
      <c r="B43" s="94">
        <v>100</v>
      </c>
    </row>
    <row r="44" spans="1:2" x14ac:dyDescent="0.3">
      <c r="A44" s="93" t="s">
        <v>105</v>
      </c>
      <c r="B44" s="94"/>
    </row>
    <row r="45" spans="1:2" x14ac:dyDescent="0.3">
      <c r="A45" s="93" t="s">
        <v>106</v>
      </c>
      <c r="B45" s="94"/>
    </row>
    <row r="46" spans="1:2" x14ac:dyDescent="0.3">
      <c r="A46" s="93" t="s">
        <v>107</v>
      </c>
      <c r="B46" s="94"/>
    </row>
    <row r="47" spans="1:2" x14ac:dyDescent="0.3">
      <c r="A47" s="93" t="s">
        <v>108</v>
      </c>
      <c r="B47" s="94">
        <f>140*90</f>
        <v>12600</v>
      </c>
    </row>
    <row r="48" spans="1:2" s="62" customFormat="1" x14ac:dyDescent="0.3">
      <c r="A48" s="93" t="s">
        <v>108</v>
      </c>
      <c r="B48" s="94">
        <f>140*120</f>
        <v>16800</v>
      </c>
    </row>
    <row r="49" spans="1:2" x14ac:dyDescent="0.3">
      <c r="A49" s="93" t="s">
        <v>109</v>
      </c>
      <c r="B49" s="94">
        <v>100</v>
      </c>
    </row>
    <row r="50" spans="1:2" x14ac:dyDescent="0.3">
      <c r="A50" s="93" t="s">
        <v>140</v>
      </c>
      <c r="B50" s="94">
        <v>500</v>
      </c>
    </row>
    <row r="51" spans="1:2" x14ac:dyDescent="0.3">
      <c r="A51" s="93" t="s">
        <v>140</v>
      </c>
      <c r="B51" s="94">
        <v>100</v>
      </c>
    </row>
    <row r="52" spans="1:2" x14ac:dyDescent="0.3">
      <c r="A52" s="93" t="s">
        <v>110</v>
      </c>
      <c r="B52" s="94"/>
    </row>
    <row r="53" spans="1:2" x14ac:dyDescent="0.3">
      <c r="A53" s="93" t="s">
        <v>111</v>
      </c>
      <c r="B53" s="94"/>
    </row>
    <row r="54" spans="1:2" x14ac:dyDescent="0.3">
      <c r="A54" s="93" t="s">
        <v>112</v>
      </c>
      <c r="B54" s="94"/>
    </row>
    <row r="55" spans="1:2" x14ac:dyDescent="0.3">
      <c r="A55" s="93" t="s">
        <v>146</v>
      </c>
      <c r="B55" s="94">
        <v>80</v>
      </c>
    </row>
    <row r="56" spans="1:2" x14ac:dyDescent="0.3">
      <c r="A56" s="93" t="s">
        <v>113</v>
      </c>
      <c r="B56" s="94">
        <f>10*30</f>
        <v>300</v>
      </c>
    </row>
    <row r="57" spans="1:2" x14ac:dyDescent="0.3">
      <c r="A57" s="93" t="s">
        <v>114</v>
      </c>
      <c r="B57" s="94"/>
    </row>
    <row r="58" spans="1:2" x14ac:dyDescent="0.3">
      <c r="A58" s="93" t="s">
        <v>115</v>
      </c>
      <c r="B58" s="94"/>
    </row>
    <row r="59" spans="1:2" s="62" customFormat="1" x14ac:dyDescent="0.3">
      <c r="A59" s="93" t="s">
        <v>116</v>
      </c>
      <c r="B59" s="94"/>
    </row>
    <row r="60" spans="1:2" s="62" customFormat="1" x14ac:dyDescent="0.3">
      <c r="A60" s="93" t="s">
        <v>117</v>
      </c>
      <c r="B60" s="94">
        <f>100*84</f>
        <v>8400</v>
      </c>
    </row>
    <row r="61" spans="1:2" s="62" customFormat="1" x14ac:dyDescent="0.3">
      <c r="A61" s="93" t="s">
        <v>118</v>
      </c>
      <c r="B61" s="94">
        <v>25</v>
      </c>
    </row>
    <row r="62" spans="1:2" s="62" customFormat="1" x14ac:dyDescent="0.3">
      <c r="A62" s="93" t="s">
        <v>118</v>
      </c>
      <c r="B62" s="94">
        <v>50</v>
      </c>
    </row>
    <row r="63" spans="1:2" s="62" customFormat="1" x14ac:dyDescent="0.3">
      <c r="A63" s="93" t="s">
        <v>118</v>
      </c>
      <c r="B63" s="94">
        <v>75</v>
      </c>
    </row>
    <row r="64" spans="1:2" s="62" customFormat="1" x14ac:dyDescent="0.3">
      <c r="A64" s="93" t="s">
        <v>118</v>
      </c>
      <c r="B64" s="94">
        <v>100</v>
      </c>
    </row>
    <row r="65" spans="1:2" s="62" customFormat="1" x14ac:dyDescent="0.3">
      <c r="A65" s="93" t="s">
        <v>118</v>
      </c>
      <c r="B65" s="94">
        <v>150</v>
      </c>
    </row>
    <row r="66" spans="1:2" s="62" customFormat="1" x14ac:dyDescent="0.3">
      <c r="A66" s="93" t="s">
        <v>118</v>
      </c>
      <c r="B66" s="94">
        <v>175</v>
      </c>
    </row>
    <row r="67" spans="1:2" x14ac:dyDescent="0.3">
      <c r="A67" s="93" t="s">
        <v>118</v>
      </c>
      <c r="B67" s="94">
        <v>263</v>
      </c>
    </row>
    <row r="68" spans="1:2" s="62" customFormat="1" x14ac:dyDescent="0.3">
      <c r="A68" s="93" t="s">
        <v>118</v>
      </c>
      <c r="B68" s="94">
        <v>350</v>
      </c>
    </row>
    <row r="69" spans="1:2" s="62" customFormat="1" x14ac:dyDescent="0.3">
      <c r="A69" s="93" t="s">
        <v>118</v>
      </c>
      <c r="B69" s="94">
        <v>525</v>
      </c>
    </row>
    <row r="70" spans="1:2" x14ac:dyDescent="0.3">
      <c r="A70" s="93" t="s">
        <v>119</v>
      </c>
      <c r="B70" s="94">
        <f>28*3</f>
        <v>84</v>
      </c>
    </row>
    <row r="71" spans="1:2" x14ac:dyDescent="0.3">
      <c r="A71" s="93" t="s">
        <v>119</v>
      </c>
      <c r="B71" s="94">
        <f>28*6</f>
        <v>168</v>
      </c>
    </row>
    <row r="72" spans="1:2" x14ac:dyDescent="0.3">
      <c r="A72" s="93" t="s">
        <v>119</v>
      </c>
      <c r="B72" s="94">
        <f>28*9</f>
        <v>252</v>
      </c>
    </row>
    <row r="73" spans="1:2" x14ac:dyDescent="0.3">
      <c r="A73" s="93" t="s">
        <v>120</v>
      </c>
      <c r="B73" s="94"/>
    </row>
    <row r="74" spans="1:2" s="62" customFormat="1" x14ac:dyDescent="0.3">
      <c r="A74" s="93" t="s">
        <v>121</v>
      </c>
      <c r="B74" s="94"/>
    </row>
    <row r="75" spans="1:2" x14ac:dyDescent="0.3">
      <c r="A75" s="93" t="s">
        <v>122</v>
      </c>
      <c r="B75" s="94">
        <f>75*2</f>
        <v>150</v>
      </c>
    </row>
    <row r="76" spans="1:2" x14ac:dyDescent="0.3">
      <c r="A76" s="93" t="s">
        <v>123</v>
      </c>
      <c r="B76" s="94">
        <v>25</v>
      </c>
    </row>
    <row r="77" spans="1:2" x14ac:dyDescent="0.3">
      <c r="A77" s="93" t="s">
        <v>123</v>
      </c>
      <c r="B77" s="94">
        <v>50</v>
      </c>
    </row>
    <row r="78" spans="1:2" x14ac:dyDescent="0.3">
      <c r="A78" s="93" t="s">
        <v>124</v>
      </c>
      <c r="B78" s="94">
        <v>100</v>
      </c>
    </row>
    <row r="79" spans="1:2" s="62" customFormat="1" x14ac:dyDescent="0.3">
      <c r="A79" s="93" t="s">
        <v>125</v>
      </c>
      <c r="B79" s="94"/>
    </row>
    <row r="80" spans="1:2" s="62" customFormat="1" x14ac:dyDescent="0.3">
      <c r="A80" s="95" t="s">
        <v>136</v>
      </c>
      <c r="B80" s="94">
        <f>150*2</f>
        <v>300</v>
      </c>
    </row>
    <row r="81" spans="1:7" s="62" customFormat="1" x14ac:dyDescent="0.3">
      <c r="A81" s="93" t="s">
        <v>126</v>
      </c>
      <c r="B81" s="94">
        <f>(200/1000)*60</f>
        <v>12</v>
      </c>
    </row>
    <row r="82" spans="1:7" s="62" customFormat="1" x14ac:dyDescent="0.3">
      <c r="A82" s="93" t="s">
        <v>126</v>
      </c>
      <c r="B82" s="94">
        <f>(400/1000)*60</f>
        <v>24</v>
      </c>
    </row>
    <row r="83" spans="1:7" s="62" customFormat="1" x14ac:dyDescent="0.3">
      <c r="A83" s="93" t="s">
        <v>126</v>
      </c>
      <c r="B83" s="94">
        <f>(600/1000)*60</f>
        <v>36</v>
      </c>
    </row>
    <row r="84" spans="1:7" s="62" customFormat="1" x14ac:dyDescent="0.3">
      <c r="A84" s="93" t="s">
        <v>126</v>
      </c>
      <c r="B84" s="94">
        <f>(800/1000)*60</f>
        <v>48</v>
      </c>
    </row>
    <row r="85" spans="1:7" s="62" customFormat="1" x14ac:dyDescent="0.3">
      <c r="A85" s="93" t="s">
        <v>126</v>
      </c>
      <c r="B85" s="94">
        <f>(1000/1000)*60</f>
        <v>60</v>
      </c>
    </row>
    <row r="86" spans="1:7" x14ac:dyDescent="0.3">
      <c r="A86" s="93" t="s">
        <v>126</v>
      </c>
      <c r="B86" s="94">
        <f>(1200/1000)*60</f>
        <v>72</v>
      </c>
    </row>
    <row r="87" spans="1:7" x14ac:dyDescent="0.3">
      <c r="A87" s="93" t="s">
        <v>126</v>
      </c>
      <c r="B87" s="94">
        <f>(1400/1000)*60</f>
        <v>84</v>
      </c>
    </row>
    <row r="88" spans="1:7" x14ac:dyDescent="0.3">
      <c r="A88" s="93" t="s">
        <v>126</v>
      </c>
      <c r="B88" s="94">
        <f>(1600/1000)*60</f>
        <v>96</v>
      </c>
    </row>
    <row r="89" spans="1:7" s="62" customFormat="1" x14ac:dyDescent="0.3">
      <c r="A89" s="93" t="s">
        <v>127</v>
      </c>
      <c r="B89" s="94"/>
    </row>
    <row r="90" spans="1:7" x14ac:dyDescent="0.3">
      <c r="A90" s="93" t="s">
        <v>133</v>
      </c>
      <c r="B90" s="94"/>
    </row>
    <row r="91" spans="1:7" x14ac:dyDescent="0.3">
      <c r="A91" s="93" t="s">
        <v>128</v>
      </c>
      <c r="B91" s="94"/>
    </row>
    <row r="92" spans="1:7" x14ac:dyDescent="0.3">
      <c r="A92" s="93" t="s">
        <v>129</v>
      </c>
      <c r="B92" s="94">
        <v>0.25</v>
      </c>
    </row>
    <row r="93" spans="1:7" x14ac:dyDescent="0.3">
      <c r="A93" s="93" t="s">
        <v>129</v>
      </c>
      <c r="B93" s="94">
        <v>1</v>
      </c>
    </row>
    <row r="94" spans="1:7" s="62" customFormat="1" x14ac:dyDescent="0.3">
      <c r="A94" s="93" t="s">
        <v>134</v>
      </c>
      <c r="B94" s="94"/>
    </row>
    <row r="95" spans="1:7" s="62" customFormat="1" x14ac:dyDescent="0.3">
      <c r="A95" s="93" t="s">
        <v>130</v>
      </c>
      <c r="B95" s="94"/>
    </row>
    <row r="96" spans="1:7" x14ac:dyDescent="0.3">
      <c r="A96" s="93" t="s">
        <v>131</v>
      </c>
      <c r="B96" s="94">
        <v>100</v>
      </c>
      <c r="G96" s="14"/>
    </row>
  </sheetData>
  <autoFilter ref="A1:B96" xr:uid="{807FB184-B4EE-46A0-ABA0-3709347857EA}">
    <sortState xmlns:xlrd2="http://schemas.microsoft.com/office/spreadsheetml/2017/richdata2" ref="A2:B96">
      <sortCondition ref="A1:A96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11FEF1-32AA-465F-B0B6-88CE614F59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PRI Calculator 2.0</vt:lpstr>
      <vt:lpstr>Resultados</vt:lpstr>
      <vt:lpstr>TRM</vt:lpstr>
      <vt:lpstr>FX</vt:lpstr>
      <vt:lpstr>Concentraciones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Aguirre Hoyos, Andres Felipe [JANCO]</dc:creator>
  <cp:lastModifiedBy>Diaz pardo, Juan pablo [JANCO]</cp:lastModifiedBy>
  <dcterms:created xsi:type="dcterms:W3CDTF">2018-02-01T16:36:44Z</dcterms:created>
  <dcterms:modified xsi:type="dcterms:W3CDTF">2021-03-11T17:59:33Z</dcterms:modified>
</cp:coreProperties>
</file>